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tw965\Downloads\"/>
    </mc:Choice>
  </mc:AlternateContent>
  <xr:revisionPtr revIDLastSave="0" documentId="13_ncr:1_{2C109BCB-370D-47C8-9323-541E614341D5}" xr6:coauthVersionLast="47" xr6:coauthVersionMax="47" xr10:uidLastSave="{00000000-0000-0000-0000-000000000000}"/>
  <bookViews>
    <workbookView xWindow="-120" yWindow="-120" windowWidth="29040" windowHeight="17640" tabRatio="500" activeTab="4" xr2:uid="{00000000-000D-0000-FFFF-FFFF00000000}"/>
  </bookViews>
  <sheets>
    <sheet name="B300" sheetId="1" r:id="rId1"/>
    <sheet name="EMO" sheetId="2" r:id="rId2"/>
    <sheet name="Sheet1" sheetId="3" r:id="rId3"/>
    <sheet name="HCs Only" sheetId="5" r:id="rId4"/>
    <sheet name="HCs Only - Condensed" sheetId="6" r:id="rId5"/>
  </sheets>
  <definedNames>
    <definedName name="_xlnm._FilterDatabase" localSheetId="2" hidden="1">Sheet1!$A$1:$F$301</definedName>
    <definedName name="DATA">'B300'!$B$1:$I$301</definedName>
    <definedName name="TEST">EMO!$B$1:$I$23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2" i="5" l="1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2" i="3"/>
  <c r="D3" i="3"/>
  <c r="F3" i="3" s="1"/>
  <c r="D4" i="3"/>
  <c r="F4" i="3" s="1"/>
  <c r="D5" i="3"/>
  <c r="F5" i="3" s="1"/>
  <c r="D6" i="3"/>
  <c r="F6" i="3" s="1"/>
  <c r="D7" i="3"/>
  <c r="D8" i="3"/>
  <c r="D9" i="3"/>
  <c r="D10" i="3"/>
  <c r="D11" i="3"/>
  <c r="F11" i="3" s="1"/>
  <c r="D12" i="3"/>
  <c r="F12" i="3" s="1"/>
  <c r="D13" i="3"/>
  <c r="F13" i="3" s="1"/>
  <c r="D14" i="3"/>
  <c r="F14" i="3" s="1"/>
  <c r="D15" i="3"/>
  <c r="D16" i="3"/>
  <c r="D17" i="3"/>
  <c r="D18" i="3"/>
  <c r="D19" i="3"/>
  <c r="D20" i="3"/>
  <c r="F20" i="3" s="1"/>
  <c r="D21" i="3"/>
  <c r="D22" i="3"/>
  <c r="F22" i="3" s="1"/>
  <c r="D23" i="3"/>
  <c r="D24" i="3"/>
  <c r="F24" i="3" s="1"/>
  <c r="D25" i="3"/>
  <c r="D26" i="3"/>
  <c r="D27" i="3"/>
  <c r="F27" i="3" s="1"/>
  <c r="D28" i="3"/>
  <c r="F28" i="3" s="1"/>
  <c r="D29" i="3"/>
  <c r="F29" i="3" s="1"/>
  <c r="D30" i="3"/>
  <c r="F30" i="3" s="1"/>
  <c r="D31" i="3"/>
  <c r="D32" i="3"/>
  <c r="D33" i="3"/>
  <c r="D34" i="3"/>
  <c r="D35" i="3"/>
  <c r="F35" i="3" s="1"/>
  <c r="D36" i="3"/>
  <c r="F36" i="3" s="1"/>
  <c r="D37" i="3"/>
  <c r="D38" i="3"/>
  <c r="F38" i="3" s="1"/>
  <c r="D39" i="3"/>
  <c r="D40" i="3"/>
  <c r="D41" i="3"/>
  <c r="D42" i="3"/>
  <c r="D43" i="3"/>
  <c r="D44" i="3"/>
  <c r="F44" i="3" s="1"/>
  <c r="D45" i="3"/>
  <c r="F45" i="3" s="1"/>
  <c r="D46" i="3"/>
  <c r="F46" i="3" s="1"/>
  <c r="D47" i="3"/>
  <c r="D48" i="3"/>
  <c r="D49" i="3"/>
  <c r="D50" i="3"/>
  <c r="D51" i="3"/>
  <c r="D52" i="3"/>
  <c r="F52" i="3" s="1"/>
  <c r="D53" i="3"/>
  <c r="F53" i="3" s="1"/>
  <c r="D54" i="3"/>
  <c r="F54" i="3" s="1"/>
  <c r="D55" i="3"/>
  <c r="D56" i="3"/>
  <c r="D57" i="3"/>
  <c r="D58" i="3"/>
  <c r="D59" i="3"/>
  <c r="F59" i="3" s="1"/>
  <c r="D60" i="3"/>
  <c r="F60" i="3" s="1"/>
  <c r="D61" i="3"/>
  <c r="D62" i="3"/>
  <c r="F62" i="3" s="1"/>
  <c r="D63" i="3"/>
  <c r="D64" i="3"/>
  <c r="D65" i="3"/>
  <c r="D66" i="3"/>
  <c r="D67" i="3"/>
  <c r="D68" i="3"/>
  <c r="F68" i="3" s="1"/>
  <c r="D69" i="3"/>
  <c r="F69" i="3" s="1"/>
  <c r="D70" i="3"/>
  <c r="F70" i="3" s="1"/>
  <c r="D71" i="3"/>
  <c r="D72" i="3"/>
  <c r="D73" i="3"/>
  <c r="D74" i="3"/>
  <c r="D75" i="3"/>
  <c r="F75" i="3" s="1"/>
  <c r="D76" i="3"/>
  <c r="F76" i="3" s="1"/>
  <c r="D77" i="3"/>
  <c r="F77" i="3" s="1"/>
  <c r="D78" i="3"/>
  <c r="F78" i="3" s="1"/>
  <c r="D79" i="3"/>
  <c r="D80" i="3"/>
  <c r="D81" i="3"/>
  <c r="D82" i="3"/>
  <c r="D83" i="3"/>
  <c r="F83" i="3" s="1"/>
  <c r="D84" i="3"/>
  <c r="F84" i="3" s="1"/>
  <c r="D85" i="3"/>
  <c r="F85" i="3" s="1"/>
  <c r="D86" i="3"/>
  <c r="F86" i="3" s="1"/>
  <c r="D87" i="3"/>
  <c r="D88" i="3"/>
  <c r="D89" i="3"/>
  <c r="D90" i="3"/>
  <c r="D91" i="3"/>
  <c r="F91" i="3" s="1"/>
  <c r="D92" i="3"/>
  <c r="F92" i="3" s="1"/>
  <c r="D93" i="3"/>
  <c r="F93" i="3" s="1"/>
  <c r="D94" i="3"/>
  <c r="F94" i="3" s="1"/>
  <c r="D95" i="3"/>
  <c r="D96" i="3"/>
  <c r="D97" i="3"/>
  <c r="D98" i="3"/>
  <c r="D99" i="3"/>
  <c r="D100" i="3"/>
  <c r="F100" i="3" s="1"/>
  <c r="D101" i="3"/>
  <c r="F101" i="3" s="1"/>
  <c r="D102" i="3"/>
  <c r="F102" i="3" s="1"/>
  <c r="D103" i="3"/>
  <c r="D104" i="3"/>
  <c r="D105" i="3"/>
  <c r="D106" i="3"/>
  <c r="D107" i="3"/>
  <c r="F107" i="3" s="1"/>
  <c r="D108" i="3"/>
  <c r="F108" i="3" s="1"/>
  <c r="D109" i="3"/>
  <c r="F109" i="3" s="1"/>
  <c r="D110" i="3"/>
  <c r="F110" i="3" s="1"/>
  <c r="D111" i="3"/>
  <c r="D112" i="3"/>
  <c r="D113" i="3"/>
  <c r="D114" i="3"/>
  <c r="D115" i="3"/>
  <c r="F115" i="3" s="1"/>
  <c r="D116" i="3"/>
  <c r="F116" i="3" s="1"/>
  <c r="D117" i="3"/>
  <c r="D118" i="3"/>
  <c r="F118" i="3" s="1"/>
  <c r="D119" i="3"/>
  <c r="D120" i="3"/>
  <c r="D121" i="3"/>
  <c r="D122" i="3"/>
  <c r="D123" i="3"/>
  <c r="F123" i="3" s="1"/>
  <c r="D124" i="3"/>
  <c r="F124" i="3" s="1"/>
  <c r="D125" i="3"/>
  <c r="F125" i="3" s="1"/>
  <c r="D126" i="3"/>
  <c r="F126" i="3" s="1"/>
  <c r="D127" i="3"/>
  <c r="D128" i="3"/>
  <c r="D129" i="3"/>
  <c r="D130" i="3"/>
  <c r="D131" i="3"/>
  <c r="D132" i="3"/>
  <c r="F132" i="3" s="1"/>
  <c r="D133" i="3"/>
  <c r="D134" i="3"/>
  <c r="F134" i="3" s="1"/>
  <c r="D135" i="3"/>
  <c r="D136" i="3"/>
  <c r="D137" i="3"/>
  <c r="D138" i="3"/>
  <c r="D139" i="3"/>
  <c r="F139" i="3" s="1"/>
  <c r="D140" i="3"/>
  <c r="F140" i="3" s="1"/>
  <c r="D141" i="3"/>
  <c r="F141" i="3" s="1"/>
  <c r="D142" i="3"/>
  <c r="F142" i="3" s="1"/>
  <c r="D143" i="3"/>
  <c r="F143" i="3" s="1"/>
  <c r="D144" i="3"/>
  <c r="D145" i="3"/>
  <c r="D146" i="3"/>
  <c r="D147" i="3"/>
  <c r="F147" i="3" s="1"/>
  <c r="D148" i="3"/>
  <c r="F148" i="3" s="1"/>
  <c r="D149" i="3"/>
  <c r="D150" i="3"/>
  <c r="F150" i="3" s="1"/>
  <c r="D151" i="3"/>
  <c r="D152" i="3"/>
  <c r="D153" i="3"/>
  <c r="D154" i="3"/>
  <c r="D155" i="3"/>
  <c r="D156" i="3"/>
  <c r="F156" i="3" s="1"/>
  <c r="D157" i="3"/>
  <c r="F157" i="3" s="1"/>
  <c r="D158" i="3"/>
  <c r="F158" i="3" s="1"/>
  <c r="D159" i="3"/>
  <c r="D160" i="3"/>
  <c r="D161" i="3"/>
  <c r="D162" i="3"/>
  <c r="D163" i="3"/>
  <c r="D164" i="3"/>
  <c r="F164" i="3" s="1"/>
  <c r="D165" i="3"/>
  <c r="F165" i="3" s="1"/>
  <c r="D166" i="3"/>
  <c r="F166" i="3" s="1"/>
  <c r="D167" i="3"/>
  <c r="F167" i="3" s="1"/>
  <c r="D168" i="3"/>
  <c r="D169" i="3"/>
  <c r="D170" i="3"/>
  <c r="D171" i="3"/>
  <c r="F171" i="3" s="1"/>
  <c r="D172" i="3"/>
  <c r="F172" i="3" s="1"/>
  <c r="D173" i="3"/>
  <c r="F173" i="3" s="1"/>
  <c r="D174" i="3"/>
  <c r="F174" i="3" s="1"/>
  <c r="D175" i="3"/>
  <c r="D176" i="3"/>
  <c r="D177" i="3"/>
  <c r="D178" i="3"/>
  <c r="D179" i="3"/>
  <c r="F179" i="3" s="1"/>
  <c r="D180" i="3"/>
  <c r="F180" i="3" s="1"/>
  <c r="D181" i="3"/>
  <c r="F181" i="3" s="1"/>
  <c r="D182" i="3"/>
  <c r="F182" i="3" s="1"/>
  <c r="D183" i="3"/>
  <c r="F183" i="3" s="1"/>
  <c r="D184" i="3"/>
  <c r="D185" i="3"/>
  <c r="D186" i="3"/>
  <c r="D187" i="3"/>
  <c r="D188" i="3"/>
  <c r="F188" i="3" s="1"/>
  <c r="D189" i="3"/>
  <c r="F189" i="3" s="1"/>
  <c r="D190" i="3"/>
  <c r="F190" i="3" s="1"/>
  <c r="D191" i="3"/>
  <c r="F191" i="3" s="1"/>
  <c r="D192" i="3"/>
  <c r="D193" i="3"/>
  <c r="D194" i="3"/>
  <c r="D195" i="3"/>
  <c r="D196" i="3"/>
  <c r="F196" i="3" s="1"/>
  <c r="D197" i="3"/>
  <c r="F197" i="3" s="1"/>
  <c r="D198" i="3"/>
  <c r="F198" i="3" s="1"/>
  <c r="D199" i="3"/>
  <c r="D200" i="3"/>
  <c r="D201" i="3"/>
  <c r="D202" i="3"/>
  <c r="D203" i="3"/>
  <c r="F203" i="3" s="1"/>
  <c r="D204" i="3"/>
  <c r="F204" i="3" s="1"/>
  <c r="D205" i="3"/>
  <c r="F205" i="3" s="1"/>
  <c r="D206" i="3"/>
  <c r="F206" i="3" s="1"/>
  <c r="D207" i="3"/>
  <c r="D208" i="3"/>
  <c r="D209" i="3"/>
  <c r="D210" i="3"/>
  <c r="D211" i="3"/>
  <c r="F211" i="3" s="1"/>
  <c r="D212" i="3"/>
  <c r="F212" i="3" s="1"/>
  <c r="D213" i="3"/>
  <c r="F213" i="3" s="1"/>
  <c r="D214" i="3"/>
  <c r="F214" i="3" s="1"/>
  <c r="D215" i="3"/>
  <c r="D216" i="3"/>
  <c r="D217" i="3"/>
  <c r="D218" i="3"/>
  <c r="D219" i="3"/>
  <c r="D220" i="3"/>
  <c r="F220" i="3" s="1"/>
  <c r="D221" i="3"/>
  <c r="F221" i="3" s="1"/>
  <c r="D222" i="3"/>
  <c r="F222" i="3" s="1"/>
  <c r="D223" i="3"/>
  <c r="D224" i="3"/>
  <c r="D225" i="3"/>
  <c r="D226" i="3"/>
  <c r="D227" i="3"/>
  <c r="F227" i="3" s="1"/>
  <c r="D228" i="3"/>
  <c r="F228" i="3" s="1"/>
  <c r="D229" i="3"/>
  <c r="F229" i="3" s="1"/>
  <c r="D230" i="3"/>
  <c r="F230" i="3" s="1"/>
  <c r="D231" i="3"/>
  <c r="F231" i="3" s="1"/>
  <c r="D232" i="3"/>
  <c r="D233" i="3"/>
  <c r="D234" i="3"/>
  <c r="D235" i="3"/>
  <c r="F235" i="3" s="1"/>
  <c r="D236" i="3"/>
  <c r="F236" i="3" s="1"/>
  <c r="D237" i="3"/>
  <c r="F237" i="3" s="1"/>
  <c r="D238" i="3"/>
  <c r="F238" i="3" s="1"/>
  <c r="D239" i="3"/>
  <c r="D240" i="3"/>
  <c r="D241" i="3"/>
  <c r="D242" i="3"/>
  <c r="D243" i="3"/>
  <c r="F243" i="3" s="1"/>
  <c r="D244" i="3"/>
  <c r="F244" i="3" s="1"/>
  <c r="D245" i="3"/>
  <c r="F245" i="3" s="1"/>
  <c r="D246" i="3"/>
  <c r="F246" i="3" s="1"/>
  <c r="D247" i="3"/>
  <c r="F247" i="3" s="1"/>
  <c r="D248" i="3"/>
  <c r="D249" i="3"/>
  <c r="D250" i="3"/>
  <c r="D251" i="3"/>
  <c r="D252" i="3"/>
  <c r="F252" i="3" s="1"/>
  <c r="D253" i="3"/>
  <c r="F253" i="3" s="1"/>
  <c r="D254" i="3"/>
  <c r="F254" i="3" s="1"/>
  <c r="D255" i="3"/>
  <c r="D256" i="3"/>
  <c r="D257" i="3"/>
  <c r="D258" i="3"/>
  <c r="D259" i="3"/>
  <c r="F259" i="3" s="1"/>
  <c r="D260" i="3"/>
  <c r="F260" i="3" s="1"/>
  <c r="D261" i="3"/>
  <c r="F261" i="3" s="1"/>
  <c r="D262" i="3"/>
  <c r="F262" i="3" s="1"/>
  <c r="D263" i="3"/>
  <c r="D264" i="3"/>
  <c r="D265" i="3"/>
  <c r="D266" i="3"/>
  <c r="D267" i="3"/>
  <c r="D268" i="3"/>
  <c r="F268" i="3" s="1"/>
  <c r="D269" i="3"/>
  <c r="F269" i="3" s="1"/>
  <c r="D270" i="3"/>
  <c r="F270" i="3" s="1"/>
  <c r="D271" i="3"/>
  <c r="D272" i="3"/>
  <c r="D273" i="3"/>
  <c r="D274" i="3"/>
  <c r="D275" i="3"/>
  <c r="F275" i="3" s="1"/>
  <c r="D276" i="3"/>
  <c r="F276" i="3" s="1"/>
  <c r="D277" i="3"/>
  <c r="F277" i="3" s="1"/>
  <c r="D278" i="3"/>
  <c r="F278" i="3" s="1"/>
  <c r="D279" i="3"/>
  <c r="D280" i="3"/>
  <c r="D281" i="3"/>
  <c r="D282" i="3"/>
  <c r="D283" i="3"/>
  <c r="F283" i="3" s="1"/>
  <c r="D284" i="3"/>
  <c r="F284" i="3" s="1"/>
  <c r="D285" i="3"/>
  <c r="F285" i="3" s="1"/>
  <c r="D286" i="3"/>
  <c r="F286" i="3" s="1"/>
  <c r="D287" i="3"/>
  <c r="F287" i="3" s="1"/>
  <c r="D288" i="3"/>
  <c r="D289" i="3"/>
  <c r="D290" i="3"/>
  <c r="D291" i="3"/>
  <c r="F291" i="3" s="1"/>
  <c r="D292" i="3"/>
  <c r="F292" i="3" s="1"/>
  <c r="D293" i="3"/>
  <c r="F293" i="3" s="1"/>
  <c r="D294" i="3"/>
  <c r="F294" i="3" s="1"/>
  <c r="D295" i="3"/>
  <c r="D296" i="3"/>
  <c r="D297" i="3"/>
  <c r="D298" i="3"/>
  <c r="D299" i="3"/>
  <c r="F299" i="3" s="1"/>
  <c r="D300" i="3"/>
  <c r="F300" i="3" s="1"/>
  <c r="D301" i="3"/>
  <c r="F301" i="3" s="1"/>
  <c r="D2" i="3"/>
  <c r="F19" i="3"/>
  <c r="F21" i="3"/>
  <c r="F23" i="3"/>
  <c r="F37" i="3"/>
  <c r="F39" i="3"/>
  <c r="F43" i="3"/>
  <c r="F47" i="3"/>
  <c r="F51" i="3"/>
  <c r="F55" i="3"/>
  <c r="F61" i="3"/>
  <c r="F67" i="3"/>
  <c r="F71" i="3"/>
  <c r="F79" i="3"/>
  <c r="F99" i="3"/>
  <c r="F103" i="3"/>
  <c r="F111" i="3"/>
  <c r="F117" i="3"/>
  <c r="F127" i="3"/>
  <c r="F131" i="3"/>
  <c r="F133" i="3"/>
  <c r="F135" i="3"/>
  <c r="F149" i="3"/>
  <c r="F151" i="3"/>
  <c r="F155" i="3"/>
  <c r="F159" i="3"/>
  <c r="F163" i="3"/>
  <c r="F187" i="3"/>
  <c r="F195" i="3"/>
  <c r="F199" i="3"/>
  <c r="F215" i="3"/>
  <c r="F219" i="3"/>
  <c r="F251" i="3"/>
  <c r="F267" i="3"/>
  <c r="F295" i="3"/>
  <c r="F280" i="3" l="1"/>
  <c r="F256" i="3"/>
  <c r="F232" i="3"/>
  <c r="F216" i="3"/>
  <c r="F208" i="3"/>
  <c r="F192" i="3"/>
  <c r="F168" i="3"/>
  <c r="F144" i="3"/>
  <c r="F271" i="3"/>
  <c r="F255" i="3"/>
  <c r="F223" i="3"/>
  <c r="F207" i="3"/>
  <c r="F175" i="3"/>
  <c r="F119" i="3"/>
  <c r="F95" i="3"/>
  <c r="F87" i="3"/>
  <c r="F63" i="3"/>
  <c r="F31" i="3"/>
  <c r="F15" i="3"/>
  <c r="F7" i="3"/>
  <c r="F279" i="3"/>
  <c r="F263" i="3"/>
  <c r="F239" i="3"/>
  <c r="F296" i="3"/>
  <c r="F288" i="3"/>
  <c r="F272" i="3"/>
  <c r="F264" i="3"/>
  <c r="F248" i="3"/>
  <c r="F240" i="3"/>
  <c r="F224" i="3"/>
  <c r="F200" i="3"/>
  <c r="F184" i="3"/>
  <c r="F176" i="3"/>
  <c r="F160" i="3"/>
  <c r="F152" i="3"/>
  <c r="F136" i="3"/>
  <c r="F128" i="3"/>
  <c r="F120" i="3"/>
  <c r="F112" i="3"/>
  <c r="F104" i="3"/>
  <c r="F96" i="3"/>
  <c r="F88" i="3"/>
  <c r="F80" i="3"/>
  <c r="F72" i="3"/>
  <c r="F64" i="3"/>
  <c r="F56" i="3"/>
  <c r="F48" i="3"/>
  <c r="F40" i="3"/>
  <c r="F32" i="3"/>
  <c r="F16" i="3"/>
  <c r="F8" i="3"/>
  <c r="F289" i="3"/>
  <c r="F281" i="3"/>
  <c r="F265" i="3"/>
  <c r="F257" i="3"/>
  <c r="F249" i="3"/>
  <c r="F241" i="3"/>
  <c r="F233" i="3"/>
  <c r="F225" i="3"/>
  <c r="F217" i="3"/>
  <c r="F209" i="3"/>
  <c r="F201" i="3"/>
  <c r="F193" i="3"/>
  <c r="F185" i="3"/>
  <c r="F177" i="3"/>
  <c r="F169" i="3"/>
  <c r="F161" i="3"/>
  <c r="F153" i="3"/>
  <c r="F145" i="3"/>
  <c r="F137" i="3"/>
  <c r="F129" i="3"/>
  <c r="F121" i="3"/>
  <c r="F113" i="3"/>
  <c r="F105" i="3"/>
  <c r="F97" i="3"/>
  <c r="F89" i="3"/>
  <c r="F81" i="3"/>
  <c r="F73" i="3"/>
  <c r="F65" i="3"/>
  <c r="F57" i="3"/>
  <c r="F49" i="3"/>
  <c r="F41" i="3"/>
  <c r="F33" i="3"/>
  <c r="F25" i="3"/>
  <c r="F17" i="3"/>
  <c r="F9" i="3"/>
  <c r="F297" i="3"/>
  <c r="F273" i="3"/>
  <c r="F2" i="3"/>
  <c r="F298" i="3"/>
  <c r="F290" i="3"/>
  <c r="F282" i="3"/>
  <c r="F274" i="3"/>
  <c r="F266" i="3"/>
  <c r="F258" i="3"/>
  <c r="F250" i="3"/>
  <c r="F242" i="3"/>
  <c r="F234" i="3"/>
  <c r="F226" i="3"/>
  <c r="F218" i="3"/>
  <c r="F210" i="3"/>
  <c r="F202" i="3"/>
  <c r="F194" i="3"/>
  <c r="F186" i="3"/>
  <c r="F178" i="3"/>
  <c r="F170" i="3"/>
  <c r="F162" i="3"/>
  <c r="F154" i="3"/>
  <c r="F146" i="3"/>
  <c r="F138" i="3"/>
  <c r="F130" i="3"/>
  <c r="F122" i="3"/>
  <c r="F114" i="3"/>
  <c r="F106" i="3"/>
  <c r="F98" i="3"/>
  <c r="F90" i="3"/>
  <c r="F82" i="3"/>
  <c r="F74" i="3"/>
  <c r="F66" i="3"/>
  <c r="F58" i="3"/>
  <c r="F50" i="3"/>
  <c r="F42" i="3"/>
  <c r="F34" i="3"/>
  <c r="F26" i="3"/>
  <c r="F18" i="3"/>
  <c r="F10" i="3"/>
</calcChain>
</file>

<file path=xl/sharedStrings.xml><?xml version="1.0" encoding="utf-8"?>
<sst xmlns="http://schemas.openxmlformats.org/spreadsheetml/2006/main" count="1642" uniqueCount="690">
  <si>
    <t>No.</t>
  </si>
  <si>
    <t>Molecule</t>
  </si>
  <si>
    <t>Smiles</t>
  </si>
  <si>
    <t>Pentane</t>
  </si>
  <si>
    <t>CCCCC</t>
  </si>
  <si>
    <t>Hexane</t>
  </si>
  <si>
    <t>C(C)CCCC</t>
  </si>
  <si>
    <t>Heptane</t>
  </si>
  <si>
    <t>CCCCCCC</t>
  </si>
  <si>
    <t>Octane</t>
  </si>
  <si>
    <t>CCCCCCCC</t>
  </si>
  <si>
    <t>Nonane</t>
  </si>
  <si>
    <t>CCCCCCCCC</t>
  </si>
  <si>
    <t>Decane</t>
  </si>
  <si>
    <t>CCCCCCCCCC</t>
  </si>
  <si>
    <t>Undecane</t>
  </si>
  <si>
    <t>CCCCCCCCCCC</t>
  </si>
  <si>
    <t>Tridecane</t>
  </si>
  <si>
    <t>CCCCCCCCCCCCC</t>
  </si>
  <si>
    <t>Pentadecane</t>
  </si>
  <si>
    <t>CCCCCCCCCCCCCCC</t>
  </si>
  <si>
    <t>Hexadecane</t>
  </si>
  <si>
    <t>CCCCCCCCCCCCCCCC</t>
  </si>
  <si>
    <t>Heptadecane</t>
  </si>
  <si>
    <t>CCCCCCCCCCCCCCCCC</t>
  </si>
  <si>
    <t>Squalane</t>
  </si>
  <si>
    <t>CC(C)CCCC(C)CCCC(C)CCCCC(C)CCCC(C)CCCC(C)C</t>
  </si>
  <si>
    <t>2,2-dimethylbutane</t>
  </si>
  <si>
    <t>CC(C)(C)CC</t>
  </si>
  <si>
    <t>2,3-dimethylbutane</t>
  </si>
  <si>
    <t>CC(C)C(C)C</t>
  </si>
  <si>
    <t>2,2,3-trimethylbutane</t>
  </si>
  <si>
    <t>CC(C)(C)C(C)C</t>
  </si>
  <si>
    <t>2,2-dimethylpentane</t>
  </si>
  <si>
    <t>CC(C)(C)CCC</t>
  </si>
  <si>
    <t>2-methylhexane</t>
  </si>
  <si>
    <t>CC(C)CCCC</t>
  </si>
  <si>
    <t>2,2,3-trimethylpentane</t>
  </si>
  <si>
    <t>CC(C)(C)C(C)CC</t>
  </si>
  <si>
    <t>2,2,4-trimethylpentane</t>
  </si>
  <si>
    <t>CC(C)(C)CC(C)C</t>
  </si>
  <si>
    <t>3-ethylhexane</t>
  </si>
  <si>
    <t>CCC(CC)CCC</t>
  </si>
  <si>
    <t>2,2,4,4-tetramethylpentane</t>
  </si>
  <si>
    <t>CC(C)(CC(C)(C)C)C</t>
  </si>
  <si>
    <t>Isooctane</t>
  </si>
  <si>
    <t>CCCCCC(C)C</t>
  </si>
  <si>
    <t>2-methyloctane</t>
  </si>
  <si>
    <t>CCCCCCC(C)C</t>
  </si>
  <si>
    <t>Cyclopentane</t>
  </si>
  <si>
    <t>C1CCCC1</t>
  </si>
  <si>
    <t>Cyclohexane</t>
  </si>
  <si>
    <t>C1CCCCC1</t>
  </si>
  <si>
    <t>cycloheptane</t>
  </si>
  <si>
    <t>C1CCCCCC1</t>
  </si>
  <si>
    <t>cyclooctane</t>
  </si>
  <si>
    <t>C1CCCCCCC1</t>
  </si>
  <si>
    <t>Methylcyclopentane</t>
  </si>
  <si>
    <t>C(CCC1)(C1)C</t>
  </si>
  <si>
    <t>Ethylcyclopentane</t>
  </si>
  <si>
    <t>CCC1CCCC1</t>
  </si>
  <si>
    <t>Propylcyclopentane</t>
  </si>
  <si>
    <t>CCCC1CCCC1</t>
  </si>
  <si>
    <t xml:space="preserve">Isopropylcyclopentane </t>
  </si>
  <si>
    <t>C(CC1)CC1C(C)C</t>
  </si>
  <si>
    <t>Isobutylcyclopentane</t>
  </si>
  <si>
    <t>C(CC1)CC1CC(C)C</t>
  </si>
  <si>
    <t>Methylcyclohexane</t>
  </si>
  <si>
    <t>C(CCCC1)(C1)C</t>
  </si>
  <si>
    <t xml:space="preserve">cis-1,3-Dimethylcyclohexane </t>
  </si>
  <si>
    <t>CC1CCCC(C)C1</t>
  </si>
  <si>
    <t>trans-1,2-Dimethylcyclohexane</t>
  </si>
  <si>
    <t>CC1CCCCC1C</t>
  </si>
  <si>
    <t>Propylcyclohexane</t>
  </si>
  <si>
    <t>CCCC1CCCCC1</t>
  </si>
  <si>
    <t>Isopropylcyclohexane</t>
  </si>
  <si>
    <t>C(CCCC1)(C1)C(C)C</t>
  </si>
  <si>
    <t>Butylcyclohexane</t>
  </si>
  <si>
    <t>C(CCCC1)(C1)CCCC</t>
  </si>
  <si>
    <t xml:space="preserve">Isobutyleyclohexane </t>
  </si>
  <si>
    <t>C(CCC1CC(C)C)CC1</t>
  </si>
  <si>
    <t>Cis-decalin</t>
  </si>
  <si>
    <t>C12CCCCC1CCCC2</t>
  </si>
  <si>
    <t>cyclopentene</t>
  </si>
  <si>
    <t>C1=CCCC1</t>
  </si>
  <si>
    <t xml:space="preserve">3-Methylcyclopentene </t>
  </si>
  <si>
    <t>CC1C=CCC1</t>
  </si>
  <si>
    <t>Cyclohexene</t>
  </si>
  <si>
    <t>C1=CCCCC1</t>
  </si>
  <si>
    <t>1-Methylcyclohex-1-ene</t>
  </si>
  <si>
    <t>C(=CCCC1)(C1)C</t>
  </si>
  <si>
    <t>Benzene</t>
  </si>
  <si>
    <t>C1=CC=CC=C1</t>
  </si>
  <si>
    <t>Toluene</t>
  </si>
  <si>
    <t>C1=CC=CC=C1C</t>
  </si>
  <si>
    <t>o-Xylene</t>
  </si>
  <si>
    <t>C1=C(C(=CC=C1)C)C</t>
  </si>
  <si>
    <t>m-Xylene</t>
  </si>
  <si>
    <t>C1=C(C=CC=C1C)C</t>
  </si>
  <si>
    <t>p-Xylene</t>
  </si>
  <si>
    <t>C1=CC(=CC=C1C)C</t>
  </si>
  <si>
    <t>Ethylbenzene</t>
  </si>
  <si>
    <t>C1=CC=CC=C1CC</t>
  </si>
  <si>
    <t xml:space="preserve">1,2,3-trimethylbenzene </t>
  </si>
  <si>
    <t>CC1=CC=CC(C)=C1C</t>
  </si>
  <si>
    <t>1,2,4-trimethylbenzene</t>
  </si>
  <si>
    <t>CC1=C(C)C=CC(C)=C1</t>
  </si>
  <si>
    <t>Mesitylene</t>
  </si>
  <si>
    <t>CC1=CC(C)=CC(C)=C1</t>
  </si>
  <si>
    <t>propylbenzene</t>
  </si>
  <si>
    <t>CCCC1=CC=CC=C1</t>
  </si>
  <si>
    <t>o-diethylbenzene</t>
  </si>
  <si>
    <t>CCC1=C(CC)C=CC=C1</t>
  </si>
  <si>
    <t>m-diethylbenzene</t>
  </si>
  <si>
    <t>CCC1=CC(CC)=CC=C1</t>
  </si>
  <si>
    <t>p-diethylbenzene</t>
  </si>
  <si>
    <t>CCC1=CC=C(CC)C=C1</t>
  </si>
  <si>
    <t xml:space="preserve">buthylbenzen </t>
  </si>
  <si>
    <t>CCCCC1=CC=CC=C1</t>
  </si>
  <si>
    <t>isobuthylbenzene</t>
  </si>
  <si>
    <t>CC(C)CC1=CC=CC=C1</t>
  </si>
  <si>
    <t>sec-butylbenzene</t>
  </si>
  <si>
    <t>CCC(C1=CC=CC=C1)C</t>
  </si>
  <si>
    <t xml:space="preserve">o-ethyltoluene </t>
  </si>
  <si>
    <t>CC1=CC=CC=C1CC</t>
  </si>
  <si>
    <t xml:space="preserve">m-ethyltoluene </t>
  </si>
  <si>
    <t>CC1=CC=CC(CC)=C1</t>
  </si>
  <si>
    <t>p-ethyltoluene</t>
  </si>
  <si>
    <t>CC1=CC=C(CC)C=C1</t>
  </si>
  <si>
    <t>1-phenyldecane</t>
  </si>
  <si>
    <t>CCCCCCCCCCC1=CC=CC=C1</t>
  </si>
  <si>
    <t>Styrene</t>
  </si>
  <si>
    <t>C1=CC=CC=C1C=C</t>
  </si>
  <si>
    <t>1,2,3,4-Tetrahydronaphthalene</t>
  </si>
  <si>
    <t>C2=C1CCCCC1=CC=C2</t>
  </si>
  <si>
    <t>Methanol</t>
  </si>
  <si>
    <t>CO</t>
  </si>
  <si>
    <t>Ethanol</t>
  </si>
  <si>
    <t>C(C)O</t>
  </si>
  <si>
    <t>1-Propanol</t>
  </si>
  <si>
    <t>C(CO)C</t>
  </si>
  <si>
    <t>2-propanol</t>
  </si>
  <si>
    <t>CC(O)C</t>
  </si>
  <si>
    <t>1-Butanol</t>
  </si>
  <si>
    <t>C(CCO)C</t>
  </si>
  <si>
    <t>2-butanol</t>
  </si>
  <si>
    <t>CC(O)CC</t>
  </si>
  <si>
    <t>Isobutyl alcohol</t>
  </si>
  <si>
    <t>CC(C)CO</t>
  </si>
  <si>
    <t>Tert-butyl alcohol</t>
  </si>
  <si>
    <t>CC(C)(O)C</t>
  </si>
  <si>
    <t>1-Pentanol</t>
  </si>
  <si>
    <t>C(CCO)CC</t>
  </si>
  <si>
    <t xml:space="preserve">3-Methyl-1-butanol </t>
  </si>
  <si>
    <t>CC(C)CCO</t>
  </si>
  <si>
    <t>1-hexanol</t>
  </si>
  <si>
    <t>CCCCCCO</t>
  </si>
  <si>
    <t>4-Methyl-2-pentanol</t>
  </si>
  <si>
    <t>C(C(C)C)C(C)O</t>
  </si>
  <si>
    <t>2-Ethyl-1-butanol</t>
  </si>
  <si>
    <t>C(C(CC)CO)C</t>
  </si>
  <si>
    <t>heptanol</t>
  </si>
  <si>
    <t>CCCCCCCO</t>
  </si>
  <si>
    <t>1-octanol</t>
  </si>
  <si>
    <t>CCCCCCCCO</t>
  </si>
  <si>
    <t>2-Ethyl-1-hexanol</t>
  </si>
  <si>
    <t>C(C(CO)CC)CCC</t>
  </si>
  <si>
    <t>nonanol</t>
  </si>
  <si>
    <t>CCCCCCCCCO</t>
  </si>
  <si>
    <t>decanol</t>
  </si>
  <si>
    <t>CCCCCCCCCCO</t>
  </si>
  <si>
    <t>undecanol</t>
  </si>
  <si>
    <t>CCCCCCCCCCCO</t>
  </si>
  <si>
    <t>dodecanol</t>
  </si>
  <si>
    <t>CCCCCCCCCCCCO</t>
  </si>
  <si>
    <t>allyl alcohol</t>
  </si>
  <si>
    <t>C=CCO</t>
  </si>
  <si>
    <t>2-Methoxyethanol</t>
  </si>
  <si>
    <t>C(OC)CO</t>
  </si>
  <si>
    <t>Benzyl alcohol</t>
  </si>
  <si>
    <t>OCC1=CC=CC=C1</t>
  </si>
  <si>
    <t>m-Cresol</t>
  </si>
  <si>
    <t>C1=C(C)C=CC=C1O</t>
  </si>
  <si>
    <t>1,2-Ethanediol</t>
  </si>
  <si>
    <t>C(CO)O</t>
  </si>
  <si>
    <t>Diethylene glycol</t>
  </si>
  <si>
    <t>C(O)COCCO</t>
  </si>
  <si>
    <t>2-Ethoxyethanol</t>
  </si>
  <si>
    <t>C(C)OCCO</t>
  </si>
  <si>
    <t xml:space="preserve">propylene glycol methyl ether </t>
  </si>
  <si>
    <t>CC(O)COC</t>
  </si>
  <si>
    <t xml:space="preserve">Ethylene Glycol Propyl Ether </t>
  </si>
  <si>
    <t>OCCOCCC</t>
  </si>
  <si>
    <t>2-Butoxyethanol</t>
  </si>
  <si>
    <t>C(OCCO)CCC</t>
  </si>
  <si>
    <t xml:space="preserve">Diethylene Glycol Ethyl Ether </t>
  </si>
  <si>
    <t>OCCOCCOCC</t>
  </si>
  <si>
    <t xml:space="preserve">Triethylene Glycol Methyl Ether </t>
  </si>
  <si>
    <t>OCCOCCOCCOC</t>
  </si>
  <si>
    <t xml:space="preserve">Ethylene Glycol Hexyl Ether </t>
  </si>
  <si>
    <t>OCCOCCCCCC</t>
  </si>
  <si>
    <t>Diethylene glycol monobutyl ether</t>
  </si>
  <si>
    <t>C(C)CCOCCOCCO</t>
  </si>
  <si>
    <t>triethylene glycol</t>
  </si>
  <si>
    <t>OCCOCCOCCO</t>
  </si>
  <si>
    <t xml:space="preserve">Diethylene Glycol Hexyl Ether </t>
  </si>
  <si>
    <t>OCCOCCOCCCCCC</t>
  </si>
  <si>
    <t xml:space="preserve">Triethylene Glycol n-Butyl Ether </t>
  </si>
  <si>
    <t>OCCOCCOCCOCCCC</t>
  </si>
  <si>
    <t>Diethyl ether</t>
  </si>
  <si>
    <t>C(OCC)C</t>
  </si>
  <si>
    <t>Butyl methyl ether</t>
  </si>
  <si>
    <t>COCCCC</t>
  </si>
  <si>
    <t>Tert-butyl methyl ether</t>
  </si>
  <si>
    <t>COC(C)(C)C</t>
  </si>
  <si>
    <t>Ethyl propyl ether</t>
  </si>
  <si>
    <t>CCCOCC</t>
  </si>
  <si>
    <t>Di-n-propyl ether</t>
  </si>
  <si>
    <t>CCCOCCC</t>
  </si>
  <si>
    <t>Diisopropyl ether</t>
  </si>
  <si>
    <t>CC(OC(C)C)C</t>
  </si>
  <si>
    <t xml:space="preserve">Methyl pentyl ether </t>
  </si>
  <si>
    <t>O(C)CCCCC</t>
  </si>
  <si>
    <t>Butyl ethyl ether</t>
  </si>
  <si>
    <t>O(CCCC)CC</t>
  </si>
  <si>
    <t>Di-n-butyl ether</t>
  </si>
  <si>
    <t>CCCCOCCCC</t>
  </si>
  <si>
    <t>Dipentyl ether</t>
  </si>
  <si>
    <t>O(CCCCC)CCCCC</t>
  </si>
  <si>
    <t>Dibenzylether</t>
  </si>
  <si>
    <t>C1(COCC2=CC=CC=C2)=CC=CC=C1</t>
  </si>
  <si>
    <t>1,2-propylene oxide</t>
  </si>
  <si>
    <t>CC1CO1</t>
  </si>
  <si>
    <t>Furan</t>
  </si>
  <si>
    <t>C1=COC=C1</t>
  </si>
  <si>
    <t>Tetrahydrofuran</t>
  </si>
  <si>
    <t>C1CCCO1</t>
  </si>
  <si>
    <t>1,2-dimethoxyethane</t>
  </si>
  <si>
    <t>COCCOC</t>
  </si>
  <si>
    <t>1,4-Dioxane</t>
  </si>
  <si>
    <t>C1COCCO1</t>
  </si>
  <si>
    <t>Diethylene glycol dimethyl ether</t>
  </si>
  <si>
    <t>COCCOCCOC</t>
  </si>
  <si>
    <t xml:space="preserve">tetraethylene glycol dimethyl ether </t>
  </si>
  <si>
    <t>COCCOCCOCCOCCOC</t>
  </si>
  <si>
    <t>Dimethoxymethane</t>
  </si>
  <si>
    <t>C(OC)OC</t>
  </si>
  <si>
    <t xml:space="preserve">Diethoxymethane </t>
  </si>
  <si>
    <t>O(CC)COCC</t>
  </si>
  <si>
    <t xml:space="preserve">1,1-Diethoxyethane </t>
  </si>
  <si>
    <t>O(C(OCC)C)CC</t>
  </si>
  <si>
    <t xml:space="preserve">1,1-Dibutoxyethane </t>
  </si>
  <si>
    <t>CC(OCCCC)OCCCC</t>
  </si>
  <si>
    <t>Paraldehyde</t>
  </si>
  <si>
    <t>O(C(OC(O1)C)C)C1C</t>
  </si>
  <si>
    <t>Ethyl Orthoformate</t>
  </si>
  <si>
    <t>CCOC(OCC)OCC</t>
  </si>
  <si>
    <t>Diethylene glycol diethyl ether</t>
  </si>
  <si>
    <t>CCOCCOCCOCC</t>
  </si>
  <si>
    <t>Anisole</t>
  </si>
  <si>
    <t>COC1=CC=CC=C1</t>
  </si>
  <si>
    <t>Phenetole</t>
  </si>
  <si>
    <t>CCOC1=CC=CC=C1</t>
  </si>
  <si>
    <t xml:space="preserve">Phenyl propyl ether </t>
  </si>
  <si>
    <t>CCCOC1=CC=CC=C1</t>
  </si>
  <si>
    <t>n-butyraldehyde</t>
  </si>
  <si>
    <t>CCCC=O</t>
  </si>
  <si>
    <t>trans-crotonaldehyde</t>
  </si>
  <si>
    <t>C/C=C/C=O</t>
  </si>
  <si>
    <t xml:space="preserve">Isovaleraldehyde </t>
  </si>
  <si>
    <t>O=CCC(C)C</t>
  </si>
  <si>
    <t>2-Furaldehyde</t>
  </si>
  <si>
    <t>O=CC(OC=C1)=C1</t>
  </si>
  <si>
    <t>Benzaldehyde</t>
  </si>
  <si>
    <t>C1=CC=CC=C1C=O</t>
  </si>
  <si>
    <t xml:space="preserve">Salicylaldehyde </t>
  </si>
  <si>
    <t>OC1=CC=CC=C1C=O</t>
  </si>
  <si>
    <t>Acetone</t>
  </si>
  <si>
    <t>CC(=O)C</t>
  </si>
  <si>
    <t>2-Butanone</t>
  </si>
  <si>
    <t>C(C(C)=O)C</t>
  </si>
  <si>
    <t>4-Methyl-2-pentanone</t>
  </si>
  <si>
    <t>C(C(C)C)C(C)=O</t>
  </si>
  <si>
    <t>Mesityl oxide</t>
  </si>
  <si>
    <t>CC(C)=CC(C)=O</t>
  </si>
  <si>
    <t>Diacetone alcohol</t>
  </si>
  <si>
    <t>C(C(C)=O)C(C)(O)C</t>
  </si>
  <si>
    <t>5-Methyl-2-hexanone</t>
  </si>
  <si>
    <t>C(CC(C)=O)C(C)C</t>
  </si>
  <si>
    <t>2,6-Dimethyl-4-heptanone</t>
  </si>
  <si>
    <t>C(C(C)C)C(=O)CC(C)C</t>
  </si>
  <si>
    <t>Cyclopentanone</t>
  </si>
  <si>
    <t>O=C1CCCC1</t>
  </si>
  <si>
    <t>Cyclohexanone</t>
  </si>
  <si>
    <t>O=C1CCCCC1</t>
  </si>
  <si>
    <t>Isophorone</t>
  </si>
  <si>
    <t>CC1=CC(=O)CC(C1)(C)C</t>
  </si>
  <si>
    <t>Formic acid</t>
  </si>
  <si>
    <t>O=CO</t>
  </si>
  <si>
    <t>Acetic acid</t>
  </si>
  <si>
    <t>CC(O)=O</t>
  </si>
  <si>
    <t>propionic acid</t>
  </si>
  <si>
    <t>O=C(O)CC</t>
  </si>
  <si>
    <t>acrylic acid</t>
  </si>
  <si>
    <t>C=CC(O)=O</t>
  </si>
  <si>
    <t>Butanoic acid</t>
  </si>
  <si>
    <t>C(C(O)=O)CC</t>
  </si>
  <si>
    <t>isobutyric acid</t>
  </si>
  <si>
    <t>CC(C)C(O)=O</t>
  </si>
  <si>
    <t>3-Butenoic acid</t>
  </si>
  <si>
    <t>OC(=O)CC=C</t>
  </si>
  <si>
    <t>methacrylic acid</t>
  </si>
  <si>
    <t>CC(C(O)=O)=C</t>
  </si>
  <si>
    <t>pentanoic acid</t>
  </si>
  <si>
    <t>O=C(O)CCCC</t>
  </si>
  <si>
    <t>isovaleric acid</t>
  </si>
  <si>
    <t>CC(C)CC(O)=O</t>
  </si>
  <si>
    <t>hexanoic acid</t>
  </si>
  <si>
    <t>O=C(O)CCCCC</t>
  </si>
  <si>
    <t>heptanoic acid</t>
  </si>
  <si>
    <t>O=C(O)CCCCCC</t>
  </si>
  <si>
    <t>octanoic acid</t>
  </si>
  <si>
    <t>O=C(O)CCCCCCC</t>
  </si>
  <si>
    <t>nonanoic acid</t>
  </si>
  <si>
    <t>O=C(O)CCCCCCCC</t>
  </si>
  <si>
    <t>oleic acid</t>
  </si>
  <si>
    <t>CCCCCCCC/C=C\CCCCCCCC(O)=O</t>
  </si>
  <si>
    <t>Methyl formate</t>
  </si>
  <si>
    <t>O=COC</t>
  </si>
  <si>
    <t>Ethyl formate</t>
  </si>
  <si>
    <t>O=COCC</t>
  </si>
  <si>
    <t>Propyl formate</t>
  </si>
  <si>
    <t>O=COCCC</t>
  </si>
  <si>
    <t>Isopropyl formate</t>
  </si>
  <si>
    <t>O=COC(C)C</t>
  </si>
  <si>
    <t>butyl formate</t>
  </si>
  <si>
    <t>O=COCCCC</t>
  </si>
  <si>
    <t>isobutyl formate</t>
  </si>
  <si>
    <t>O=COCC(C)C</t>
  </si>
  <si>
    <t>pentyl formate</t>
  </si>
  <si>
    <t>O=COCCCCC</t>
  </si>
  <si>
    <t>Hexyl formate</t>
  </si>
  <si>
    <t>O=COCCCCCC</t>
  </si>
  <si>
    <t>Isopentyl formate</t>
  </si>
  <si>
    <t>O=COCCC(C)C</t>
  </si>
  <si>
    <t>Methyl acetate</t>
  </si>
  <si>
    <t>CC(OC)=O</t>
  </si>
  <si>
    <t>Ethyl acetate</t>
  </si>
  <si>
    <t>C(OC(C)=O)C</t>
  </si>
  <si>
    <t>vinyl acetate</t>
  </si>
  <si>
    <t>CC(OC=C)=O</t>
  </si>
  <si>
    <t>Allyl acetate</t>
  </si>
  <si>
    <t>O=C(OCC=C)C</t>
  </si>
  <si>
    <t>propyl acetate</t>
  </si>
  <si>
    <t>CC(OCCC)=O</t>
  </si>
  <si>
    <t>isopropyl acetate</t>
  </si>
  <si>
    <t>CC(OC(C)C)=O</t>
  </si>
  <si>
    <t>isobutyl acetate</t>
  </si>
  <si>
    <t>CC(OCC(C)C)=O</t>
  </si>
  <si>
    <t>sec butyl acetate</t>
  </si>
  <si>
    <t>CC(OC(C)CC)=O</t>
  </si>
  <si>
    <t>tert butyl acetate</t>
  </si>
  <si>
    <t>CC(OC(C)(C)C)=O</t>
  </si>
  <si>
    <t>Butyl acetate</t>
  </si>
  <si>
    <t>C(C)CCOC(C)=O</t>
  </si>
  <si>
    <t>Pentyl acetate</t>
  </si>
  <si>
    <t>CC(OCCCCC)=O</t>
  </si>
  <si>
    <t>Isopentyl acetate</t>
  </si>
  <si>
    <t>C(C(C)C)COC(=O)C</t>
  </si>
  <si>
    <t>hexyl acetate</t>
  </si>
  <si>
    <t>CC(OCCCCCC)=O</t>
  </si>
  <si>
    <t>Acetic acid octyl ester</t>
  </si>
  <si>
    <t>CC(OCCCCCCCC)=O</t>
  </si>
  <si>
    <t>2-Ethoxyethyl acetate</t>
  </si>
  <si>
    <t>C(OC(C)=O)COCC</t>
  </si>
  <si>
    <t>methyl acrylate</t>
  </si>
  <si>
    <t>C=CC(OC)=O</t>
  </si>
  <si>
    <t>methyl propionate</t>
  </si>
  <si>
    <t>O=C(OC)CC</t>
  </si>
  <si>
    <t>methyl butyrate</t>
  </si>
  <si>
    <t>O=C(OC)CCC</t>
  </si>
  <si>
    <t>Methyl isobutyrate</t>
  </si>
  <si>
    <t>O=C(OC)C(C)C</t>
  </si>
  <si>
    <t>Ethyl propionate</t>
  </si>
  <si>
    <t>CCC(OCC)=O</t>
  </si>
  <si>
    <t>Ethyl lactate</t>
  </si>
  <si>
    <t>O=C(OCC)C(O)C</t>
  </si>
  <si>
    <t>propyl propionate</t>
  </si>
  <si>
    <t>CCC(OCCC)=O</t>
  </si>
  <si>
    <t>ethyl butyrate</t>
  </si>
  <si>
    <t>CCCC(OCC)=O</t>
  </si>
  <si>
    <t>ethyl isobutyrate</t>
  </si>
  <si>
    <t>CC(C)C(OCC)=O</t>
  </si>
  <si>
    <t>Methyl isovalerate</t>
  </si>
  <si>
    <t>O=C(OC)CC(C)C</t>
  </si>
  <si>
    <t>methyl pentanoate</t>
  </si>
  <si>
    <t>O=C(OC)CCCC</t>
  </si>
  <si>
    <t>butyl propionate</t>
  </si>
  <si>
    <t>CCC(OCCCC)=O</t>
  </si>
  <si>
    <t>propyl butyrate</t>
  </si>
  <si>
    <t>CCCC(OCCC)=O</t>
  </si>
  <si>
    <t>Methyl hexanoate</t>
  </si>
  <si>
    <t>CCCCCC(OC)=O</t>
  </si>
  <si>
    <t>pentanoic acid ethyl ester</t>
  </si>
  <si>
    <t>CCCCC(OCC)=O</t>
  </si>
  <si>
    <t xml:space="preserve">Ethyl isovalerate </t>
  </si>
  <si>
    <t>O=C(OCC)CC(C)C</t>
  </si>
  <si>
    <t>butyl butyrate</t>
  </si>
  <si>
    <t>CCCC(OCCCC)=O</t>
  </si>
  <si>
    <t>Ethyl hexanoate</t>
  </si>
  <si>
    <t>O=C(OCC)CCCCC</t>
  </si>
  <si>
    <t>methyl heptanoate</t>
  </si>
  <si>
    <t>O=C(OC)CCCCCC</t>
  </si>
  <si>
    <t xml:space="preserve">Ethyl heptanoate </t>
  </si>
  <si>
    <t>O=C(OCC)CCCCCC</t>
  </si>
  <si>
    <t xml:space="preserve">Methyl octanoate </t>
  </si>
  <si>
    <t>O=C(OC)CCCCCCC</t>
  </si>
  <si>
    <t>Butyl valerate</t>
  </si>
  <si>
    <t>O=C(OCCCC)CCCC</t>
  </si>
  <si>
    <t>Ethyl octanoate</t>
  </si>
  <si>
    <t>O=C(OCC)CCCCCCC</t>
  </si>
  <si>
    <t>methyl nonanoate</t>
  </si>
  <si>
    <t>O=C(OC)CCCCCCCC</t>
  </si>
  <si>
    <t>Methyl decanoate</t>
  </si>
  <si>
    <t>O=C(OC)CCCCCCCCC</t>
  </si>
  <si>
    <t xml:space="preserve">Methyl dodecanoate </t>
  </si>
  <si>
    <t>O=C(OC)CCCCCCCCCCC</t>
  </si>
  <si>
    <t>Methyl myristate</t>
  </si>
  <si>
    <t>O=C(OC)CCCCCCCCCCCCC</t>
  </si>
  <si>
    <t>octyl octanoate</t>
  </si>
  <si>
    <t>O=C(OCCCCCCCC)CCCCCCC</t>
  </si>
  <si>
    <t>Methyl palmitate</t>
  </si>
  <si>
    <t>O=C(OC)CCCCCCCCCCCCCCC</t>
  </si>
  <si>
    <t>Methyl stearate</t>
  </si>
  <si>
    <t>O=C(OC)CCCCCCCCCCCCCCCCC</t>
  </si>
  <si>
    <t>Methyl acetoacetate</t>
  </si>
  <si>
    <t>O=C(OC)CC(=O)C</t>
  </si>
  <si>
    <t>Ethyl acetoacetate</t>
  </si>
  <si>
    <t>O=C(OCC)CC(=O)C</t>
  </si>
  <si>
    <t>Dimethyl maleate</t>
  </si>
  <si>
    <t>O=C(OC)C=CC(=O)OC</t>
  </si>
  <si>
    <t>Diethyl maleate</t>
  </si>
  <si>
    <t>O=C(OCC)C=CC(=O)OCC</t>
  </si>
  <si>
    <t>Dibutylmaleate</t>
  </si>
  <si>
    <t>O=C(OCCCC)C=CC(=O)OCCCC</t>
  </si>
  <si>
    <t>decanedioic acid dibutyl ester</t>
  </si>
  <si>
    <t>O=C(OCCCC)CCCCCCCCC(OCCCC)=O</t>
  </si>
  <si>
    <t>1,2,3-tris-butyryloxy-propane</t>
  </si>
  <si>
    <t>O=C(OCC(OC(CCC)=O)COC(CCC)=O)CCC</t>
  </si>
  <si>
    <t>tricaprylin</t>
  </si>
  <si>
    <t>CCCCCCCC(OCC(COC(CCCCCCC)=O)OC(CCCCCCC)=O)=O</t>
  </si>
  <si>
    <t>Methyl benzoate</t>
  </si>
  <si>
    <t>O=C(OC)C1=CC=CC=C1</t>
  </si>
  <si>
    <t xml:space="preserve">Methyl salicylate </t>
  </si>
  <si>
    <t>OC1=CC=CC=C1C(OC)=O</t>
  </si>
  <si>
    <t>Ethyl benzoate</t>
  </si>
  <si>
    <t>O=C(OCC)C1=CC=CC=C1</t>
  </si>
  <si>
    <t>Diethyl phthalate</t>
  </si>
  <si>
    <t>O=C(OCC)C1=CC=CC=C1C(OCC)=O</t>
  </si>
  <si>
    <t>Tetramethylsilane</t>
  </si>
  <si>
    <t>C[Si](C)(C)C</t>
  </si>
  <si>
    <t>triethylsilane</t>
  </si>
  <si>
    <t>CC[SiH](CC)CC</t>
  </si>
  <si>
    <t>triethoxysilane</t>
  </si>
  <si>
    <t>CCO[SiH](OCC)OCC</t>
  </si>
  <si>
    <t>tetraethylsilane</t>
  </si>
  <si>
    <t>CC[Si](CC)(CC)CC</t>
  </si>
  <si>
    <t>1,1,1,3,3,3-hexamethyldisiloxane</t>
  </si>
  <si>
    <t>C[Si](C)(C)O[Si](C)(C)C</t>
  </si>
  <si>
    <t>octamethyltrisiloxane</t>
  </si>
  <si>
    <t>C[Si](C)(C)O[Si](C)(C)O[Si](C)(C)C</t>
  </si>
  <si>
    <t>Octamethylcyclotetrasiloxane</t>
  </si>
  <si>
    <t>C[Si]1(C)O[Si](C)(C)O[Si](C)(C)O[Si](C)(C)O1</t>
  </si>
  <si>
    <t>decamethyltetrasiloxane</t>
  </si>
  <si>
    <t>C[Si](C)(C)O[Si](C)(C)O[Si](C)(C)O[Si](C)(C)C</t>
  </si>
  <si>
    <t>Decamethylcyclopentasiloxane</t>
  </si>
  <si>
    <t>C[Si]1(C)O[Si](C)(C)O[Si](C)(C)O[Si](C)(C)O[Si](C)(C)O1</t>
  </si>
  <si>
    <t>dodecamethylpentasiloxane</t>
  </si>
  <si>
    <t>C[Si](C)(C)O[Si](C)(C)O[Si](C)(C)O[Si](C)(C)O[Si](C)(C)C</t>
  </si>
  <si>
    <t>tetradecamethylhexasiloxane</t>
  </si>
  <si>
    <t>C[Si](C)(C)O[Si](C)(C)O[Si](C)(C)O[Si](C)(C)O[Si](C)(C)O[Si](C)(C)C</t>
  </si>
  <si>
    <t>tetrapropoxysilane</t>
  </si>
  <si>
    <t>CCCO[Si](OCCC)(OCCC)OCCC</t>
  </si>
  <si>
    <t>Dimethyl carbonate</t>
  </si>
  <si>
    <t>O=C(OC)OC</t>
  </si>
  <si>
    <t>Propylene carbonate</t>
  </si>
  <si>
    <t>CC1COC(O1)=O</t>
  </si>
  <si>
    <t>Diethyl carbonate</t>
  </si>
  <si>
    <t>O=C(OCC)OCC</t>
  </si>
  <si>
    <t>dipropyl carbonate</t>
  </si>
  <si>
    <t>O=C(OCCC)OCCC</t>
  </si>
  <si>
    <t>Acetic anhydride</t>
  </si>
  <si>
    <t>CC(OC(C)=O)=O</t>
  </si>
  <si>
    <t>2,2,4,4,6,6-hexamethyl-3-oxa-2,4,6-trisila-heptane</t>
  </si>
  <si>
    <t>3,3-diethyl-1,1,1,5,5,5-hexamethyl-trisiloxane</t>
  </si>
  <si>
    <t>1,1,1,3,5,5,5-heptamethyl-3-trimethylsilanyloxy-trisiloxane</t>
  </si>
  <si>
    <t>C[Si](C)(C)C[Si](C)(C)O[Si](C)(CC)O[Si](C)(CC)O[Si](C)(C)C[Si](C)(C)C</t>
  </si>
  <si>
    <t>C[Si](C)(C)C[Si](C)(C)O[Si](C)(CC)O[Si](C)(CC)O[Si](C)(CC)O[Si](C)(C)C[Si](C)(C)C</t>
  </si>
  <si>
    <t>tetradecamethyl-cycloheptasiloxane</t>
  </si>
  <si>
    <t xml:space="preserve"> hexamethyl-cyclotrisiloxane</t>
  </si>
  <si>
    <t>C[Si]1(C)O[Si](C)(C)O[Si](C)(C)O1</t>
  </si>
  <si>
    <t>C[Si](C)(C)O[Si](C)(C)C[Si](C)(C)C</t>
  </si>
  <si>
    <t>C[Si](C)(C)O[Si](CC)(CC)O[Si](C)(C)C</t>
  </si>
  <si>
    <t>C[Si](O[Si](O[Si](C)(C)C)(C)O[Si](C)(C)C)(C)C</t>
  </si>
  <si>
    <t>C[Si](O[Si](O[Si](C)(C)C)(CC)O[Si](C)(C)C)(C)C</t>
  </si>
  <si>
    <t>C[Si](C)(C)C[Si](C)(C)O[Si](C)(C)O[Si](C)(C)O[Si](C)(C)C[Si](C)(C)C</t>
  </si>
  <si>
    <t>C[Si](C)(C)C[Si](C)(C)O[Si](C)(C)O[Si](C)(C)O[Si](C)(C)O[Si](C)(C)C[Si](C)(C)C</t>
  </si>
  <si>
    <t>C[Si]1(C)O[Si](C)(C)O[Si](C)(C)O[Si](C)(C)O[Si](C)(C)O[Si](C)(C)O[Si](C)(C)O1</t>
  </si>
  <si>
    <t>1,2,3-tris-(propionyloxy)-propane</t>
  </si>
  <si>
    <t xml:space="preserve">carbonic acid dihexyl ester </t>
  </si>
  <si>
    <t>O=C(OCCCCCC)OCCCCCC</t>
  </si>
  <si>
    <t>heptanoic acid 1-methyl-heptyl ester</t>
  </si>
  <si>
    <t>CCCCCCC(OC(C)CCCCCC)=O</t>
  </si>
  <si>
    <t>butyric acid 1-methyl-decyl ester</t>
  </si>
  <si>
    <t>CCCC(OC(C)CCCCCCCCC)=O</t>
  </si>
  <si>
    <t>pentanoic acid 1-methyl-decyl ester</t>
  </si>
  <si>
    <t>CCCCC(OC(C)CCCCCCCCC)=O</t>
  </si>
  <si>
    <t>nonanoic acid 1-methyl-hexyl ester</t>
  </si>
  <si>
    <t>CCCCCCCCC(OC(C)CCCCC)=O</t>
  </si>
  <si>
    <t>octanoic acid 1-methyl-heptyl ester</t>
  </si>
  <si>
    <t>CCCCCCCC(OC(C)CCCCCC)=O</t>
  </si>
  <si>
    <t>heptanoic acid 1-methyl-decyl ester</t>
  </si>
  <si>
    <t>CCCCCCC(OC(C)CCCCCCCCC)=O</t>
  </si>
  <si>
    <t>undecanoic acid 1-methyl-hexyl ester</t>
  </si>
  <si>
    <t>CCCCCCCCCCC(OC(C)CCCCC)=O</t>
  </si>
  <si>
    <t>dodecanoic acid 1-methyl-pentyl ester</t>
  </si>
  <si>
    <t>CCCCCCCCCCCC(OC(C)CCCC)=O</t>
  </si>
  <si>
    <t>undecanoic acid 1-methyl-heptyl ester</t>
  </si>
  <si>
    <t>CCCCCCCCCCC(OC(C)CCCCCC)=O</t>
  </si>
  <si>
    <t>dodecanoic acid 1-methyl-hexyl ester</t>
  </si>
  <si>
    <t>CCCCCCCCCCCC(OC(C)CCCCC)=O</t>
  </si>
  <si>
    <t>nonanoic acid 1-methyl-decyl ester</t>
  </si>
  <si>
    <t>CCCCCCCCC(OC(C)CCCCCCCCC)=O</t>
  </si>
  <si>
    <t>dodecanoic acid 1-methyl-nonyl ester</t>
  </si>
  <si>
    <t>CCCCCCCCCCCC(OC(C)CCCCCCCC)=O</t>
  </si>
  <si>
    <t xml:space="preserve">nonanedioic acid diethyl ester </t>
  </si>
  <si>
    <t>O=C(OCC)CCCCCCCC(OCC)=O</t>
  </si>
  <si>
    <t xml:space="preserve">decanedioic acid diethyl ester </t>
  </si>
  <si>
    <t>O=C(OCC)CCCCCCCCC(OCC)=O</t>
  </si>
  <si>
    <t>decanedioic acid bis-(3-methyl-butyl) ester</t>
  </si>
  <si>
    <t>O=C(OCCC(C)C)CCCCCCCCC(OCCC(C)C)=O</t>
  </si>
  <si>
    <t>decanedioic acid dihexyl ester</t>
  </si>
  <si>
    <t>O=C(OCCCCCC)CCCCCCCCC(OCCCCCC)=O</t>
  </si>
  <si>
    <t>hexanedioic acid bis-(2-ethyl-hexyl) ester</t>
  </si>
  <si>
    <t>O=C(OCC(CC)CCCC)CCCCC(OCC(CC)CCCC)=O</t>
  </si>
  <si>
    <t>1,2,3-tris-(hexanoyloxy)-propane</t>
  </si>
  <si>
    <t>CCCCCC(OCC(OC(CCCCC)=O)COC(CCCCC)=O)=O</t>
  </si>
  <si>
    <t>O=C(OCC(OC(CC)=O)COC(CC)=O)CC</t>
  </si>
  <si>
    <t>propane-1,2,3-tricarboxylic acid tripropyl ester</t>
  </si>
  <si>
    <t>O=C(CC(C(OCCC)=O)CC(OCCC)=O)OCCC</t>
  </si>
  <si>
    <t>propane-1,2,3-tricarboxylic acid tributyl ester</t>
  </si>
  <si>
    <t>O=C(CC(C(OCCCC)=O)CC(OCCCC)=O)OCCCC</t>
  </si>
  <si>
    <t>propane-1,2,3-tricarboxylic acid tripentyl ester</t>
  </si>
  <si>
    <t>O=C(CC(C(OCCCCC)=O)CC(OCCCCC)=O)OCCCCC</t>
  </si>
  <si>
    <t>propane-1,2,3-tricarboxylic acid trihexyl ester</t>
  </si>
  <si>
    <t>O=C(CC(C(OCCCCCC)=O)CC(OCCCCCC)=O)OCCCCCC</t>
  </si>
  <si>
    <t>propane-1,2,3-tricarboxylic acid tris-(2-ethylhexyl) ester</t>
  </si>
  <si>
    <t>O=C(CC(C(OCC(CC)CCCC)=O)CC(OCC(CC)CCCC)=O)OCC(CC)CCCC</t>
  </si>
  <si>
    <t>undecanoic acid 1-methyl-pentyl ester</t>
  </si>
  <si>
    <t>tetradecanoic acid 1-methyl-hexyl ester</t>
  </si>
  <si>
    <t>CCCCCCCCCCCCCC(OC(C)CCCCC)=O</t>
  </si>
  <si>
    <t>CCCCCCCCCCC(OC(C)CCCC)=O</t>
  </si>
  <si>
    <t>2,4,6-trimethyl-octane</t>
  </si>
  <si>
    <t>2,4,6-trimethyl-decane</t>
  </si>
  <si>
    <t>CC(C)CC(C)CC(C)CCCC</t>
  </si>
  <si>
    <t>CC(C)CC(C)CC(C)CCC</t>
  </si>
  <si>
    <t>2,2,4-trimethyl-heptane</t>
  </si>
  <si>
    <t>CC(C)(C)CC(C)CCC</t>
  </si>
  <si>
    <t>2,4,6-trimethyl-dodecane</t>
  </si>
  <si>
    <t>CC(C)CC(C)CC(C)CCCCCC</t>
  </si>
  <si>
    <t>2,4,6-trimethyl-tridecane</t>
  </si>
  <si>
    <t>CC(C)CC(C)CC(C)CCCCCCC</t>
  </si>
  <si>
    <t>2,4,6-trimethyl-pentadecane</t>
  </si>
  <si>
    <t>CC(C)CC(C)CC(C)CCCCCCCCC</t>
  </si>
  <si>
    <t>2,4,6-trimethyl-heptadecane</t>
  </si>
  <si>
    <t>CC(C)CC(C)CC(C)CCCCCCCCCCC</t>
  </si>
  <si>
    <t>decanedioic acid bis-(2-ethyl-hexyl) ester</t>
  </si>
  <si>
    <t>O=C(OCC(CC)CCCC)CCCCCCCCC(OCC(CC)CCCC)=O</t>
  </si>
  <si>
    <t>heptanedioic acid dipentyl ester</t>
  </si>
  <si>
    <t>nonanedioic acid bis-(1-ethyl-propyl) ester</t>
  </si>
  <si>
    <t>O=C(OCCCCC)CCCCCC(OCCCCC)=O</t>
  </si>
  <si>
    <t>O=C(OC(CC)CC)CCCCCCCC(OC(CC)CC)=O</t>
  </si>
  <si>
    <t>3-ethyl-1,1,1,5,5,5-hexamethyl-3-trimethylsilanyloxy-trisiloxane</t>
  </si>
  <si>
    <t xml:space="preserve"> 2,2,4,4,6,6,8,8,10,10,12,12-dodecamethyl-5,7,9-trioxa-2,4,6,8,10,12-hexasila-tridecane</t>
  </si>
  <si>
    <t>6,8-diethyl-2,2,4,4,6,8,10,10,12,12-decamethyl-5,7,9-trioxa-2,4,6,8,10,12-hexasila-tridecane</t>
  </si>
  <si>
    <t>2,2,4,4,6,6,8,8,10,10,12,12,14,14-tetradecamethyl-5,7,9,11-tetraoxa-2,4,6,8,10,12,14-heptasila-pentadecane</t>
  </si>
  <si>
    <t>6,8,10-triethyl-2,2,4,4,6,8,10,12,12,14,14-undecamethyl-5,7,9,11-tetraoxa-2,4,6,8,10,12,14-heptasila-pentadecane</t>
  </si>
  <si>
    <t>pentan-2-one</t>
  </si>
  <si>
    <t>CC(CCC)=O</t>
  </si>
  <si>
    <t>hexan-2-one</t>
  </si>
  <si>
    <t>CC(CCCC)=O</t>
  </si>
  <si>
    <t>heptan-2-one</t>
  </si>
  <si>
    <t>CC(CCCCC)=O</t>
  </si>
  <si>
    <t>octan-2-one</t>
  </si>
  <si>
    <t>CC(CCCCCC)=O</t>
  </si>
  <si>
    <t>nonan-2-one</t>
  </si>
  <si>
    <t>CC(CCCCCCC)=O</t>
  </si>
  <si>
    <t>undecan-2-one</t>
  </si>
  <si>
    <t>CC(CCCCCCCCC)=O</t>
  </si>
  <si>
    <t>heptyl formate</t>
  </si>
  <si>
    <t>octyl formate</t>
  </si>
  <si>
    <t>O=COCCCCCCC</t>
  </si>
  <si>
    <t>O=COCCCCCCCC</t>
  </si>
  <si>
    <t>M0 Area</t>
  </si>
  <si>
    <t>M2 sig2</t>
  </si>
  <si>
    <t>M3 sig3</t>
  </si>
  <si>
    <t>Hb_acc2</t>
  </si>
  <si>
    <t>Hb_don2</t>
  </si>
  <si>
    <t>Tetradecane</t>
  </si>
  <si>
    <t>CCCCCCCCCCCCCC</t>
  </si>
  <si>
    <t>Dicaprylyl ether</t>
  </si>
  <si>
    <t>O(CCCCCCCC)CCCCCCCC</t>
  </si>
  <si>
    <t>Dodecyl caprylate</t>
  </si>
  <si>
    <t>CCCCCCCC(OCCCCCCCCCCCC)=O</t>
  </si>
  <si>
    <t>2-Propylheptyl caprylate</t>
  </si>
  <si>
    <t>CCCCCCCC(OCC(CCC)CCCCC)=O</t>
  </si>
  <si>
    <t>Diisopropyl adipate</t>
  </si>
  <si>
    <t>O=C(OC(C)C)CCCCC(OC(C)C)=O</t>
  </si>
  <si>
    <t>Dodecane</t>
  </si>
  <si>
    <t>CCCCCCCCCCCC</t>
  </si>
  <si>
    <t>Neopentyl glycol di(2-ethylhexanoate)</t>
  </si>
  <si>
    <t>CCCCC(CC)C(OCC(C)(C)COC(C(CC)CCCC)=O)=O</t>
  </si>
  <si>
    <t>Isoamyl laurate</t>
  </si>
  <si>
    <t>CCCCCCCCCCCC(OCCC(C)C)=O</t>
  </si>
  <si>
    <t>Diisoamyl sebacate</t>
  </si>
  <si>
    <t>Hemisqualane</t>
  </si>
  <si>
    <t>CCC(CCCC(CCCC(C)C)C)C</t>
  </si>
  <si>
    <t>2,2,4,6,6-Pentamethylheptane</t>
  </si>
  <si>
    <t>CC(C)(C)CC(C)CC(C)(C)C</t>
  </si>
  <si>
    <t>2,2,4,4,6,8,8-Heptamethylnonane</t>
  </si>
  <si>
    <t>CC(C)(C)CC(C)(C)CC(C)CC(C)(C)C</t>
  </si>
  <si>
    <t>Dicaprylyl carbonate</t>
  </si>
  <si>
    <t>O=C(OCCCCCCCC)OCCCCCCCC</t>
  </si>
  <si>
    <t>Propanediol dicaprylate</t>
  </si>
  <si>
    <t>CCCCCCCC(OCCCOC(CCCCCCC)=O)=O</t>
  </si>
  <si>
    <t>Isodecyl neopentanoate</t>
  </si>
  <si>
    <t>CC(C)(C)C(OCCCCCCCC(C)C)=O</t>
  </si>
  <si>
    <t>2-Ethylhexyl cocoate</t>
  </si>
  <si>
    <t>CCCCCCCCCCCC(OCC(CC)CCCC)=O</t>
  </si>
  <si>
    <t>Neopentyl glycol diheptanoate</t>
  </si>
  <si>
    <t>CC(C)(COC(CCCCCC)=O)COC(CCCCCC)=O</t>
  </si>
  <si>
    <t>Isononyl isononanoate</t>
  </si>
  <si>
    <t>CC(C)CCCCCC(OCCCCCCC(C)C)=O</t>
  </si>
  <si>
    <t>Isopropyl myristate</t>
  </si>
  <si>
    <t>O=C(OC(C)C)CCCCCCCCCCCCC</t>
  </si>
  <si>
    <t>Diethylhexyl adipate</t>
  </si>
  <si>
    <t>CCCCC(CC)COC(CCCCC(OCC(CC)CCCC)=O)=O</t>
  </si>
  <si>
    <t>Isopropyl isostearate</t>
  </si>
  <si>
    <t>CC(C)CCCCCCCCCCCCCCC(OC(C)C)=O</t>
  </si>
  <si>
    <t>D6</t>
  </si>
  <si>
    <t>C[Si]1(C)O[Si](C)(C)O[Si](C)(C)O[Si](C)(C)O[Si](C)(C)O[Si](C)(C)O1</t>
  </si>
  <si>
    <t>η</t>
  </si>
  <si>
    <r>
      <t xml:space="preserve">log </t>
    </r>
    <r>
      <rPr>
        <b/>
        <i/>
        <sz val="11"/>
        <rFont val="Times New Roman"/>
        <family val="1"/>
      </rPr>
      <t>η</t>
    </r>
  </si>
  <si>
    <t>SMILES</t>
  </si>
  <si>
    <t>Only HC</t>
  </si>
  <si>
    <t>Contains NO O</t>
  </si>
  <si>
    <t>Contains NO Si</t>
  </si>
  <si>
    <t>Name</t>
  </si>
  <si>
    <t>η (mPa * s)</t>
  </si>
  <si>
    <t>Source</t>
  </si>
  <si>
    <t>https://www.engineeringtoolbox.com/pentane-density-specific-weight-temperaure-pressure-d_2050.html</t>
  </si>
  <si>
    <t>Density (g/cc) at 25 C</t>
  </si>
  <si>
    <t>https://pubchem.ncbi.nlm.nih.gov/compound/8900#section=Density</t>
  </si>
  <si>
    <t>https://pubchem.ncbi.nlm.nih.gov/compound/356#section=Density</t>
  </si>
  <si>
    <t>Haynes, W.M. (ed.). CRC Handbook of Chemistry and Physics. 94th Edition. CRC Press LLC, Boca Raton: FL 2013-2014, p. 3-426</t>
  </si>
  <si>
    <t>Secondary Source</t>
  </si>
  <si>
    <t>Haynes, W.M. (ed.) CRC Handbook of Chemistry and Physics. 91st ed. Boca Raton, FL: CRC Press Inc., 2010-2011, p. 3-282</t>
  </si>
  <si>
    <t>Haynes, W.M. (ed.). CRC Handbook of Chemistry and Physics. 94th Edition. CRC Press LLC, Boca Raton: FL 2013-2014, p. 3-290</t>
  </si>
  <si>
    <t>Haynes, W.M. (ed.). CRC Handbook of Chemistry and Physics. 95th Edition. CRC Press LLC, Boca Raton: FL 2014-2015, p. 3-142</t>
  </si>
  <si>
    <t>Yaws, Carl L.. (2003). &lt;i&gt;Yaws' Handbook of Thermodynamic and Physical Properties of Chemical Compounds.&lt;/i&gt; Knovel. Retrieved from &lt;br&gt;https://app.knovel.com/hotlink/itble/rcid:kpYHTPPCC4/id:kpYHTPPCC4/yaws-handbook-thermodynamic/yaws-handbook-thermodynamic</t>
  </si>
  <si>
    <t>Notes</t>
  </si>
  <si>
    <t>No temperature noted. Standard (25 C) temperature assumed. Other densities in this table appeared to correspond to 25C densities</t>
  </si>
  <si>
    <t>&lt;i&gt;Basic Physical Properties of Chemical Compounds.&lt;/i&gt; Retrieved from &lt;br&gt;https://app.knovel.com/hotlink/itble/rcid:kpKCTE000X/id:kt002VLXT1/knovel-critical-tables/basic-physical-properties</t>
  </si>
  <si>
    <t>Haynes, W.M. (ed.). CRC Handbook of Chemistry and Physics. 94th Edition. CRC Press LLC, Boca Raton: FL 2013-2014, p. 3-206</t>
  </si>
  <si>
    <t>&lt;i&gt;Organic Compounds.&lt;/i&gt; Retrieved from &lt;br&gt;https://app.knovel.com/hotlink/itble/rcid:kpYHPPHC0B/id:kt0059W4W1/yaws-handbook-physical/organic-compounds</t>
  </si>
  <si>
    <t>&lt;i&gt;Physical Properties and Refractive Index.&lt;/i&gt; Retrieved from &lt;br&gt;https://app.knovel.com/hotlink/itble/rcid:kpYHTPPCC4/id:kt002UT9Q2/yaws-handbook-thermodynamic/physical-properties-refractive</t>
  </si>
  <si>
    <t>2-methylheptane</t>
  </si>
  <si>
    <t>CC(C)CC(C)CC(C)CC</t>
  </si>
  <si>
    <t>x</t>
  </si>
  <si>
    <t>&lt;i&gt;Table 2. Physical Properties - Organic Compounds.&lt;/i&gt; Retrieved from &lt;br&gt;https://app.knovel.com/hotlink/itble/rcid:kpYCPDCECD/id:kt009ZN2I4/yaws-critical-property/table-2-physical-properties</t>
  </si>
  <si>
    <t>&lt;i&gt;Table 15. Density of Liquid -- Miscellaneous Materials .&lt;/i&gt; Retrieved from &lt;br&gt;https://app.knovel.com/hotlink/itble/rcid:kpYCPDCECD/id:kt00BKAONB/yaws-critical-property/table-15-density-liquid</t>
  </si>
  <si>
    <t>C[C@@H]1CCC[C@@H](C1)C</t>
  </si>
  <si>
    <t>C[C@@H]1CCCC[C@H]1C </t>
  </si>
  <si>
    <t>CCCCCC</t>
  </si>
  <si>
    <t>William M. Haynes (2016). CRC Handbook of Chemistry and Physics (97th ed.). Boca Raton: CRC Press. pp. 3–298. ISBN 978-1-4987-5429-3.</t>
  </si>
  <si>
    <t>Isobutylcyclohexane</t>
  </si>
  <si>
    <t>Yaws, Carl L.. (2012; 2013; 2014). &lt;i&gt;Yaws' Critical Property Data for Chemical Engineers and Chemists.&lt;/i&gt; Knovel. Retrieved from &lt;br&gt;https://app.knovel.com/hotlink/itble/rcid:kpYCPDCECD/id:kpYCPDCECD/yaws-critical-property/yaws-critical-property</t>
  </si>
  <si>
    <t>butylbenzene</t>
  </si>
  <si>
    <t>isobutylbenzene</t>
  </si>
  <si>
    <t>KV25 (cSt)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</si>
</sst>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Verdana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Times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name val="Arial"/>
      <family val="2"/>
    </font>
    <font>
      <b/>
      <sz val="12"/>
      <color rgb="FFFF000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374151"/>
      <name val="Arial"/>
      <family val="2"/>
    </font>
    <font>
      <i/>
      <sz val="12"/>
      <color theme="1"/>
      <name val="Arial"/>
      <family val="2"/>
    </font>
    <font>
      <sz val="8"/>
      <color rgb="FF222222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468">
    <xf numFmtId="0" fontId="0" fillId="0" borderId="0"/>
    <xf numFmtId="0" fontId="3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2" fontId="6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1" fillId="0" borderId="0" xfId="438" applyFont="1"/>
    <xf numFmtId="0" fontId="5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7" fillId="0" borderId="0" xfId="0" applyFont="1"/>
    <xf numFmtId="0" fontId="11" fillId="0" borderId="0" xfId="0" applyFont="1"/>
    <xf numFmtId="2" fontId="5" fillId="0" borderId="0" xfId="0" applyNumberFormat="1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2" fontId="4" fillId="0" borderId="0" xfId="1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2" fontId="12" fillId="0" borderId="0" xfId="0" applyNumberFormat="1" applyFont="1" applyAlignment="1">
      <alignment horizontal="center"/>
    </xf>
    <xf numFmtId="2" fontId="18" fillId="0" borderId="0" xfId="1" applyNumberFormat="1" applyFont="1" applyAlignment="1">
      <alignment horizontal="center" vertical="center"/>
    </xf>
    <xf numFmtId="0" fontId="0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19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9" fillId="0" borderId="1" xfId="0" applyNumberFormat="1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2" fontId="20" fillId="0" borderId="0" xfId="1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2" fontId="22" fillId="0" borderId="0" xfId="1" applyNumberFormat="1" applyFont="1" applyAlignment="1">
      <alignment horizontal="center" vertical="center"/>
    </xf>
    <xf numFmtId="0" fontId="15" fillId="0" borderId="0" xfId="467"/>
    <xf numFmtId="0" fontId="23" fillId="0" borderId="0" xfId="0" applyFont="1"/>
    <xf numFmtId="0" fontId="24" fillId="0" borderId="0" xfId="0" applyFont="1" applyAlignment="1">
      <alignment vertical="center" wrapText="1"/>
    </xf>
    <xf numFmtId="0" fontId="25" fillId="0" borderId="0" xfId="0" applyFont="1"/>
  </cellXfs>
  <cellStyles count="46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/>
    <cellStyle name="Normal" xfId="0" builtinId="0"/>
    <cellStyle name="Normal 2" xfId="438" xr:uid="{00000000-0005-0000-0000-0000D1010000}"/>
    <cellStyle name="Normal 5" xfId="1" xr:uid="{00000000-0005-0000-0000-0000D2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ubchem.ncbi.nlm.nih.gov/compound/89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J301"/>
  <sheetViews>
    <sheetView zoomScale="55" zoomScaleNormal="55" zoomScalePageLayoutView="145" workbookViewId="0">
      <selection activeCell="J1" sqref="J1:J1048576"/>
    </sheetView>
  </sheetViews>
  <sheetFormatPr defaultColWidth="11" defaultRowHeight="15.75" x14ac:dyDescent="0.25"/>
  <cols>
    <col min="1" max="1" width="13.5" style="5" customWidth="1"/>
    <col min="2" max="2" width="85.125" style="33" bestFit="1" customWidth="1"/>
    <col min="3" max="3" width="71.375" style="16" bestFit="1" customWidth="1"/>
    <col min="4" max="4" width="11.5" bestFit="1" customWidth="1"/>
    <col min="5" max="8" width="11.125" bestFit="1" customWidth="1"/>
    <col min="9" max="9" width="11.125" style="22" customWidth="1"/>
    <col min="10" max="10" width="11.5" style="36" bestFit="1" customWidth="1"/>
  </cols>
  <sheetData>
    <row r="1" spans="1:10" s="34" customFormat="1" x14ac:dyDescent="0.25">
      <c r="A1" s="1" t="s">
        <v>0</v>
      </c>
      <c r="B1" s="2" t="s">
        <v>1</v>
      </c>
      <c r="C1" s="2" t="s">
        <v>2</v>
      </c>
      <c r="D1" s="37" t="s">
        <v>603</v>
      </c>
      <c r="E1" s="37" t="s">
        <v>604</v>
      </c>
      <c r="F1" s="37" t="s">
        <v>605</v>
      </c>
      <c r="G1" s="37" t="s">
        <v>606</v>
      </c>
      <c r="H1" s="37" t="s">
        <v>607</v>
      </c>
      <c r="I1" s="38" t="s">
        <v>652</v>
      </c>
      <c r="J1" s="41" t="s">
        <v>651</v>
      </c>
    </row>
    <row r="2" spans="1:10" x14ac:dyDescent="0.25">
      <c r="A2" s="3">
        <v>1</v>
      </c>
      <c r="B2" s="4" t="s">
        <v>3</v>
      </c>
      <c r="C2" s="4" t="s">
        <v>4</v>
      </c>
      <c r="D2" s="20">
        <v>139.1525</v>
      </c>
      <c r="E2" s="20">
        <v>7.3032000000000004</v>
      </c>
      <c r="F2" s="20">
        <v>-0.1384</v>
      </c>
      <c r="G2" s="20">
        <v>0</v>
      </c>
      <c r="H2" s="20">
        <v>0</v>
      </c>
      <c r="I2" s="20">
        <v>-0.64</v>
      </c>
      <c r="J2" s="35">
        <v>0.23</v>
      </c>
    </row>
    <row r="3" spans="1:10" x14ac:dyDescent="0.25">
      <c r="A3" s="3">
        <v>2</v>
      </c>
      <c r="B3" s="6" t="s">
        <v>5</v>
      </c>
      <c r="C3" s="6" t="s">
        <v>6</v>
      </c>
      <c r="D3" s="20">
        <v>159.25219999999999</v>
      </c>
      <c r="E3" s="20">
        <v>8.2129999999999992</v>
      </c>
      <c r="F3" s="20">
        <v>-9.0999999999999998E-2</v>
      </c>
      <c r="G3" s="20">
        <v>0</v>
      </c>
      <c r="H3" s="20">
        <v>0</v>
      </c>
      <c r="I3" s="22">
        <v>-0.53</v>
      </c>
      <c r="J3" s="35">
        <v>0.29599999999999999</v>
      </c>
    </row>
    <row r="4" spans="1:10" x14ac:dyDescent="0.25">
      <c r="A4" s="3">
        <v>3</v>
      </c>
      <c r="B4" s="4" t="s">
        <v>7</v>
      </c>
      <c r="C4" s="4" t="s">
        <v>8</v>
      </c>
      <c r="D4" s="20">
        <v>179.32079999999999</v>
      </c>
      <c r="E4" s="20">
        <v>9.1626999999999992</v>
      </c>
      <c r="F4" s="20">
        <v>-3.44E-2</v>
      </c>
      <c r="G4" s="20">
        <v>0</v>
      </c>
      <c r="H4" s="20">
        <v>0</v>
      </c>
      <c r="I4" s="20">
        <v>-0.41</v>
      </c>
      <c r="J4" s="35">
        <v>0.39</v>
      </c>
    </row>
    <row r="5" spans="1:10" x14ac:dyDescent="0.25">
      <c r="A5" s="3">
        <v>4</v>
      </c>
      <c r="B5" s="4" t="s">
        <v>9</v>
      </c>
      <c r="C5" s="4" t="s">
        <v>10</v>
      </c>
      <c r="D5" s="20">
        <v>199.39402313800002</v>
      </c>
      <c r="E5" s="20">
        <v>10.070569042000001</v>
      </c>
      <c r="F5" s="20">
        <v>1.3370689E-2</v>
      </c>
      <c r="G5" s="20">
        <v>0</v>
      </c>
      <c r="H5" s="20">
        <v>0</v>
      </c>
      <c r="I5" s="20">
        <v>-0.28999999999999998</v>
      </c>
      <c r="J5" s="35">
        <v>0.51</v>
      </c>
    </row>
    <row r="6" spans="1:10" x14ac:dyDescent="0.25">
      <c r="A6" s="3">
        <v>5</v>
      </c>
      <c r="B6" s="4" t="s">
        <v>11</v>
      </c>
      <c r="C6" s="4" t="s">
        <v>12</v>
      </c>
      <c r="D6" s="20">
        <v>219.44392912899997</v>
      </c>
      <c r="E6" s="20">
        <v>10.9741168057</v>
      </c>
      <c r="F6" s="20">
        <v>6.6585080800000002E-2</v>
      </c>
      <c r="G6" s="20">
        <v>0</v>
      </c>
      <c r="H6" s="20">
        <v>0</v>
      </c>
      <c r="I6" s="20">
        <v>-0.18</v>
      </c>
      <c r="J6" s="35">
        <v>0.66</v>
      </c>
    </row>
    <row r="7" spans="1:10" x14ac:dyDescent="0.25">
      <c r="A7" s="3">
        <v>6</v>
      </c>
      <c r="B7" s="4" t="s">
        <v>13</v>
      </c>
      <c r="C7" s="4" t="s">
        <v>14</v>
      </c>
      <c r="D7" s="20">
        <v>239.553</v>
      </c>
      <c r="E7" s="20">
        <v>11.9321</v>
      </c>
      <c r="F7" s="20">
        <v>0.11940000000000001</v>
      </c>
      <c r="G7" s="20">
        <v>0</v>
      </c>
      <c r="H7" s="20">
        <v>0</v>
      </c>
      <c r="I7" s="20">
        <v>-7.0000000000000007E-2</v>
      </c>
      <c r="J7" s="35">
        <v>0.86</v>
      </c>
    </row>
    <row r="8" spans="1:10" x14ac:dyDescent="0.25">
      <c r="A8" s="3">
        <v>7</v>
      </c>
      <c r="B8" s="4" t="s">
        <v>15</v>
      </c>
      <c r="C8" s="4" t="s">
        <v>16</v>
      </c>
      <c r="D8" s="20">
        <v>259.49937464569996</v>
      </c>
      <c r="E8" s="20">
        <v>12.575293374999999</v>
      </c>
      <c r="F8" s="20">
        <v>0.14452196389999999</v>
      </c>
      <c r="G8" s="20">
        <v>0</v>
      </c>
      <c r="H8" s="20">
        <v>0</v>
      </c>
      <c r="I8" s="20">
        <v>0.04</v>
      </c>
      <c r="J8" s="35">
        <v>1.1000000000000001</v>
      </c>
    </row>
    <row r="9" spans="1:10" x14ac:dyDescent="0.25">
      <c r="A9" s="3">
        <v>8</v>
      </c>
      <c r="B9" s="4" t="s">
        <v>17</v>
      </c>
      <c r="C9" s="4" t="s">
        <v>18</v>
      </c>
      <c r="D9" s="20">
        <v>299.63993432159998</v>
      </c>
      <c r="E9" s="20">
        <v>14.336487992</v>
      </c>
      <c r="F9" s="20">
        <v>0.23681360560000003</v>
      </c>
      <c r="G9" s="20">
        <v>0</v>
      </c>
      <c r="H9" s="20">
        <v>0</v>
      </c>
      <c r="I9" s="20">
        <v>0.23</v>
      </c>
      <c r="J9" s="35">
        <v>1.7</v>
      </c>
    </row>
    <row r="10" spans="1:10" x14ac:dyDescent="0.25">
      <c r="A10" s="3">
        <v>9</v>
      </c>
      <c r="B10" s="4" t="s">
        <v>19</v>
      </c>
      <c r="C10" s="7" t="s">
        <v>20</v>
      </c>
      <c r="D10" s="20">
        <v>339.83296687239999</v>
      </c>
      <c r="E10" s="20">
        <v>16.102539650000001</v>
      </c>
      <c r="F10" s="20">
        <v>0.28497825140000005</v>
      </c>
      <c r="G10" s="20">
        <v>0</v>
      </c>
      <c r="H10" s="20">
        <v>0</v>
      </c>
      <c r="I10" s="20">
        <v>0.4</v>
      </c>
      <c r="J10" s="35">
        <v>2.54</v>
      </c>
    </row>
    <row r="11" spans="1:10" x14ac:dyDescent="0.25">
      <c r="A11" s="3">
        <v>10</v>
      </c>
      <c r="B11" s="4" t="s">
        <v>21</v>
      </c>
      <c r="C11" s="7" t="s">
        <v>22</v>
      </c>
      <c r="D11" s="20">
        <v>359.73918454199998</v>
      </c>
      <c r="E11" s="20">
        <v>17.340850181500002</v>
      </c>
      <c r="F11" s="20">
        <v>0.40583908300000004</v>
      </c>
      <c r="G11" s="20">
        <v>0</v>
      </c>
      <c r="H11" s="20">
        <v>0</v>
      </c>
      <c r="I11" s="20">
        <v>0.49</v>
      </c>
      <c r="J11" s="35">
        <v>3.06</v>
      </c>
    </row>
    <row r="12" spans="1:10" x14ac:dyDescent="0.25">
      <c r="A12" s="3">
        <v>11</v>
      </c>
      <c r="B12" s="4" t="s">
        <v>23</v>
      </c>
      <c r="C12" s="7" t="s">
        <v>24</v>
      </c>
      <c r="D12" s="20">
        <v>379.98020000000002</v>
      </c>
      <c r="E12" s="20">
        <v>18.296199999999999</v>
      </c>
      <c r="F12" s="20">
        <v>0.46279999999999999</v>
      </c>
      <c r="G12" s="20">
        <v>0</v>
      </c>
      <c r="H12" s="20">
        <v>0</v>
      </c>
      <c r="I12" s="20">
        <v>0.56000000000000005</v>
      </c>
      <c r="J12" s="35">
        <v>3.61</v>
      </c>
    </row>
    <row r="13" spans="1:10" x14ac:dyDescent="0.25">
      <c r="A13" s="3">
        <v>12</v>
      </c>
      <c r="B13" s="11" t="s">
        <v>25</v>
      </c>
      <c r="C13" s="7" t="s">
        <v>26</v>
      </c>
      <c r="D13" s="20">
        <v>604.78711863349997</v>
      </c>
      <c r="E13" s="20">
        <v>30.893936994299999</v>
      </c>
      <c r="F13" s="20">
        <v>0.25725818620000007</v>
      </c>
      <c r="G13" s="20">
        <v>0</v>
      </c>
      <c r="H13" s="20">
        <v>0</v>
      </c>
      <c r="I13" s="20">
        <v>1.47</v>
      </c>
      <c r="J13" s="35">
        <v>29.7</v>
      </c>
    </row>
    <row r="14" spans="1:10" x14ac:dyDescent="0.25">
      <c r="A14" s="3">
        <v>13</v>
      </c>
      <c r="B14" s="11" t="s">
        <v>27</v>
      </c>
      <c r="C14" s="7" t="s">
        <v>28</v>
      </c>
      <c r="D14" s="20">
        <v>147.93819999999999</v>
      </c>
      <c r="E14" s="20">
        <v>9.0283999999999995</v>
      </c>
      <c r="F14" s="20">
        <v>-0.17480000000000001</v>
      </c>
      <c r="G14" s="20">
        <v>0</v>
      </c>
      <c r="H14" s="20">
        <v>0</v>
      </c>
      <c r="I14" s="20">
        <v>-0.47</v>
      </c>
      <c r="J14" s="35">
        <v>0.34</v>
      </c>
    </row>
    <row r="15" spans="1:10" x14ac:dyDescent="0.25">
      <c r="A15" s="3">
        <v>14</v>
      </c>
      <c r="B15" s="11" t="s">
        <v>29</v>
      </c>
      <c r="C15" s="7" t="s">
        <v>30</v>
      </c>
      <c r="D15" s="20">
        <v>148.7448</v>
      </c>
      <c r="E15" s="20">
        <v>8.7606999999999999</v>
      </c>
      <c r="F15" s="20">
        <v>-0.23480000000000001</v>
      </c>
      <c r="G15" s="20">
        <v>0</v>
      </c>
      <c r="H15" s="20">
        <v>0</v>
      </c>
      <c r="I15" s="20">
        <v>-0.48</v>
      </c>
      <c r="J15" s="35">
        <v>0.33</v>
      </c>
    </row>
    <row r="16" spans="1:10" x14ac:dyDescent="0.25">
      <c r="A16" s="3">
        <v>15</v>
      </c>
      <c r="B16" s="11" t="s">
        <v>31</v>
      </c>
      <c r="C16" s="7" t="s">
        <v>32</v>
      </c>
      <c r="D16" s="20">
        <v>160.94309999999999</v>
      </c>
      <c r="E16" s="20">
        <v>10.1328</v>
      </c>
      <c r="F16" s="20">
        <v>-0.22470000000000001</v>
      </c>
      <c r="G16" s="20">
        <v>0</v>
      </c>
      <c r="H16" s="20">
        <v>0</v>
      </c>
      <c r="I16" s="22">
        <v>-0.26</v>
      </c>
      <c r="J16" s="35">
        <v>0.55000000000000004</v>
      </c>
    </row>
    <row r="17" spans="1:10" x14ac:dyDescent="0.25">
      <c r="A17" s="3">
        <v>16</v>
      </c>
      <c r="B17" s="11" t="s">
        <v>33</v>
      </c>
      <c r="C17" s="7" t="s">
        <v>34</v>
      </c>
      <c r="D17" s="20">
        <v>167.8922</v>
      </c>
      <c r="E17" s="20">
        <v>9.9298000000000002</v>
      </c>
      <c r="F17" s="20">
        <v>-0.10680000000000001</v>
      </c>
      <c r="G17" s="20">
        <v>0</v>
      </c>
      <c r="H17" s="20">
        <v>0</v>
      </c>
      <c r="I17" s="20">
        <v>-0.51</v>
      </c>
      <c r="J17" s="35">
        <v>0.31</v>
      </c>
    </row>
    <row r="18" spans="1:10" x14ac:dyDescent="0.25">
      <c r="A18" s="3">
        <v>17</v>
      </c>
      <c r="B18" s="11" t="s">
        <v>35</v>
      </c>
      <c r="C18" s="7" t="s">
        <v>36</v>
      </c>
      <c r="D18" s="20">
        <v>174.80240000000001</v>
      </c>
      <c r="E18" s="20">
        <v>9.3094999999999999</v>
      </c>
      <c r="F18" s="20">
        <v>-0.11700000000000001</v>
      </c>
      <c r="G18" s="20">
        <v>0</v>
      </c>
      <c r="H18" s="20">
        <v>0</v>
      </c>
      <c r="I18" s="20">
        <v>-0.46</v>
      </c>
      <c r="J18" s="35">
        <v>0.35</v>
      </c>
    </row>
    <row r="19" spans="1:10" x14ac:dyDescent="0.25">
      <c r="A19" s="3">
        <v>18</v>
      </c>
      <c r="B19" s="11" t="s">
        <v>37</v>
      </c>
      <c r="C19" s="7" t="s">
        <v>38</v>
      </c>
      <c r="D19" s="20">
        <v>178.66839999999999</v>
      </c>
      <c r="E19" s="20">
        <v>10.9046</v>
      </c>
      <c r="F19" s="20">
        <v>-0.373</v>
      </c>
      <c r="G19" s="20">
        <v>0</v>
      </c>
      <c r="H19" s="20">
        <v>0</v>
      </c>
      <c r="I19" s="20">
        <v>-0.24</v>
      </c>
      <c r="J19" s="35">
        <v>0.56999999999999995</v>
      </c>
    </row>
    <row r="20" spans="1:10" x14ac:dyDescent="0.25">
      <c r="A20" s="3">
        <v>19</v>
      </c>
      <c r="B20" s="11" t="s">
        <v>39</v>
      </c>
      <c r="C20" s="7" t="s">
        <v>40</v>
      </c>
      <c r="D20" s="20">
        <v>181.74799999999999</v>
      </c>
      <c r="E20" s="20">
        <v>10.9002</v>
      </c>
      <c r="F20" s="20">
        <v>-0.13730000000000001</v>
      </c>
      <c r="G20" s="20">
        <v>0</v>
      </c>
      <c r="H20" s="20">
        <v>0</v>
      </c>
      <c r="I20" s="20">
        <v>-0.33</v>
      </c>
      <c r="J20" s="35">
        <v>0.47</v>
      </c>
    </row>
    <row r="21" spans="1:10" x14ac:dyDescent="0.25">
      <c r="A21" s="3">
        <v>20</v>
      </c>
      <c r="B21" s="11" t="s">
        <v>41</v>
      </c>
      <c r="C21" s="7" t="s">
        <v>42</v>
      </c>
      <c r="D21" s="20">
        <v>187.0575</v>
      </c>
      <c r="E21" s="20">
        <v>9.9224999999999994</v>
      </c>
      <c r="F21" s="20">
        <v>-0.21229999999999999</v>
      </c>
      <c r="G21" s="20">
        <v>0</v>
      </c>
      <c r="H21" s="20">
        <v>0</v>
      </c>
      <c r="I21" s="20">
        <v>-0.37</v>
      </c>
      <c r="J21" s="35">
        <v>0.42299999999999999</v>
      </c>
    </row>
    <row r="22" spans="1:10" x14ac:dyDescent="0.25">
      <c r="A22" s="3">
        <v>21</v>
      </c>
      <c r="B22" s="11" t="s">
        <v>43</v>
      </c>
      <c r="C22" s="7" t="s">
        <v>44</v>
      </c>
      <c r="D22" s="20">
        <v>191.9588</v>
      </c>
      <c r="E22" s="20">
        <v>12.1999</v>
      </c>
      <c r="F22" s="20">
        <v>-6.5100000000000005E-2</v>
      </c>
      <c r="G22" s="20">
        <v>0</v>
      </c>
      <c r="H22" s="20">
        <v>0</v>
      </c>
      <c r="I22" s="22">
        <v>-0.12</v>
      </c>
      <c r="J22" s="35">
        <v>0.75</v>
      </c>
    </row>
    <row r="23" spans="1:10" x14ac:dyDescent="0.25">
      <c r="A23" s="3">
        <v>22</v>
      </c>
      <c r="B23" s="6" t="s">
        <v>45</v>
      </c>
      <c r="C23" s="4" t="s">
        <v>46</v>
      </c>
      <c r="D23" s="20">
        <v>181.74799999999999</v>
      </c>
      <c r="E23" s="20">
        <v>10.9002</v>
      </c>
      <c r="F23" s="20">
        <v>-0.13730000000000001</v>
      </c>
      <c r="G23" s="20">
        <v>0</v>
      </c>
      <c r="H23" s="20">
        <v>0</v>
      </c>
      <c r="I23" s="20">
        <v>-0.31</v>
      </c>
      <c r="J23" s="35">
        <v>0.49</v>
      </c>
    </row>
    <row r="24" spans="1:10" x14ac:dyDescent="0.25">
      <c r="A24" s="3">
        <v>23</v>
      </c>
      <c r="B24" s="11" t="s">
        <v>47</v>
      </c>
      <c r="C24" s="7" t="s">
        <v>48</v>
      </c>
      <c r="D24" s="20">
        <v>215.01</v>
      </c>
      <c r="E24" s="20">
        <v>11.2867</v>
      </c>
      <c r="F24" s="20">
        <v>-8.8000000000000005E-3</v>
      </c>
      <c r="G24" s="20">
        <v>0</v>
      </c>
      <c r="H24" s="20">
        <v>0</v>
      </c>
      <c r="I24" s="22">
        <v>-0.2</v>
      </c>
      <c r="J24" s="35">
        <v>0.63</v>
      </c>
    </row>
    <row r="25" spans="1:10" x14ac:dyDescent="0.25">
      <c r="A25" s="3">
        <v>24</v>
      </c>
      <c r="B25" s="17" t="s">
        <v>566</v>
      </c>
      <c r="C25" s="18" t="s">
        <v>567</v>
      </c>
      <c r="D25" s="19">
        <v>219.4127</v>
      </c>
      <c r="E25" s="19">
        <v>12.472899999999999</v>
      </c>
      <c r="F25" s="19">
        <v>-0.15110000000000001</v>
      </c>
      <c r="G25" s="19">
        <v>0</v>
      </c>
      <c r="H25" s="19">
        <v>0</v>
      </c>
      <c r="I25" s="19">
        <v>-0.28000000000000003</v>
      </c>
      <c r="J25" s="35">
        <v>0.52</v>
      </c>
    </row>
    <row r="26" spans="1:10" x14ac:dyDescent="0.25">
      <c r="A26" s="3">
        <v>25</v>
      </c>
      <c r="B26" s="3" t="s">
        <v>562</v>
      </c>
      <c r="C26" s="4" t="s">
        <v>565</v>
      </c>
      <c r="D26" s="19">
        <v>259.57943831670002</v>
      </c>
      <c r="E26" s="19">
        <v>14.404148846599998</v>
      </c>
      <c r="F26" s="19">
        <v>-0.13307506859999998</v>
      </c>
      <c r="G26" s="19">
        <v>0</v>
      </c>
      <c r="H26" s="19">
        <v>0</v>
      </c>
      <c r="I26" s="19">
        <v>0.04</v>
      </c>
      <c r="J26" s="35">
        <v>1.1000000000000001</v>
      </c>
    </row>
    <row r="27" spans="1:10" x14ac:dyDescent="0.25">
      <c r="A27" s="3">
        <v>26</v>
      </c>
      <c r="B27" s="3" t="s">
        <v>563</v>
      </c>
      <c r="C27" s="4" t="s">
        <v>564</v>
      </c>
      <c r="D27" s="19">
        <v>279.66992593969997</v>
      </c>
      <c r="E27" s="19">
        <v>15.191535903399998</v>
      </c>
      <c r="F27" s="19">
        <v>-8.8110753800000011E-2</v>
      </c>
      <c r="G27" s="19">
        <v>0</v>
      </c>
      <c r="H27" s="19">
        <v>0</v>
      </c>
      <c r="I27" s="19">
        <v>0.15</v>
      </c>
      <c r="J27" s="35">
        <v>1.4</v>
      </c>
    </row>
    <row r="28" spans="1:10" x14ac:dyDescent="0.25">
      <c r="A28" s="3">
        <v>27</v>
      </c>
      <c r="B28" s="3" t="s">
        <v>568</v>
      </c>
      <c r="C28" s="4" t="s">
        <v>569</v>
      </c>
      <c r="D28" s="19">
        <v>320.22164445580006</v>
      </c>
      <c r="E28" s="19">
        <v>17.089352087400002</v>
      </c>
      <c r="F28" s="19">
        <v>-1.8882559899999998E-2</v>
      </c>
      <c r="G28" s="19">
        <v>0</v>
      </c>
      <c r="H28" s="19">
        <v>0</v>
      </c>
      <c r="I28" s="19">
        <v>0.36</v>
      </c>
      <c r="J28" s="35">
        <v>2.2999999999999998</v>
      </c>
    </row>
    <row r="29" spans="1:10" x14ac:dyDescent="0.25">
      <c r="A29" s="3">
        <v>28</v>
      </c>
      <c r="B29" s="3" t="s">
        <v>570</v>
      </c>
      <c r="C29" s="10" t="s">
        <v>571</v>
      </c>
      <c r="D29" s="19">
        <v>338.71449020229994</v>
      </c>
      <c r="E29" s="19">
        <v>17.664768782699998</v>
      </c>
      <c r="F29" s="19">
        <v>5.8205843899999991E-2</v>
      </c>
      <c r="G29" s="19">
        <v>0</v>
      </c>
      <c r="H29" s="19">
        <v>0</v>
      </c>
      <c r="I29" s="19">
        <v>0.45</v>
      </c>
      <c r="J29" s="35">
        <v>2.8</v>
      </c>
    </row>
    <row r="30" spans="1:10" x14ac:dyDescent="0.25">
      <c r="A30" s="3">
        <v>29</v>
      </c>
      <c r="B30" s="3" t="s">
        <v>572</v>
      </c>
      <c r="C30" s="10" t="s">
        <v>573</v>
      </c>
      <c r="D30" s="19">
        <v>378.99694348959997</v>
      </c>
      <c r="E30" s="19">
        <v>19.458389750400002</v>
      </c>
      <c r="F30" s="19">
        <v>0.17248257759999999</v>
      </c>
      <c r="G30" s="19">
        <v>0</v>
      </c>
      <c r="H30" s="19">
        <v>0</v>
      </c>
      <c r="I30" s="19">
        <v>0.62</v>
      </c>
      <c r="J30" s="35">
        <v>4.2</v>
      </c>
    </row>
    <row r="31" spans="1:10" x14ac:dyDescent="0.25">
      <c r="A31" s="3">
        <v>30</v>
      </c>
      <c r="B31" s="3" t="s">
        <v>574</v>
      </c>
      <c r="C31" s="3" t="s">
        <v>575</v>
      </c>
      <c r="D31" s="19">
        <v>419.09302263080002</v>
      </c>
      <c r="E31" s="19">
        <v>21.3656525024</v>
      </c>
      <c r="F31" s="19">
        <v>0.23802151109999997</v>
      </c>
      <c r="G31" s="19">
        <v>0</v>
      </c>
      <c r="H31" s="19">
        <v>0</v>
      </c>
      <c r="I31" s="19">
        <v>0.76</v>
      </c>
      <c r="J31" s="35">
        <v>5.7</v>
      </c>
    </row>
    <row r="32" spans="1:10" x14ac:dyDescent="0.25">
      <c r="A32" s="3">
        <v>31</v>
      </c>
      <c r="B32" s="6" t="s">
        <v>49</v>
      </c>
      <c r="C32" s="4" t="s">
        <v>50</v>
      </c>
      <c r="D32" s="20">
        <v>121.30119999999999</v>
      </c>
      <c r="E32" s="20">
        <v>6.0171000000000001</v>
      </c>
      <c r="F32" s="20">
        <v>-0.16639999999999999</v>
      </c>
      <c r="G32" s="20">
        <v>0</v>
      </c>
      <c r="H32" s="20">
        <v>0</v>
      </c>
      <c r="I32" s="20">
        <v>-0.39</v>
      </c>
      <c r="J32" s="35">
        <v>0.41</v>
      </c>
    </row>
    <row r="33" spans="1:10" x14ac:dyDescent="0.25">
      <c r="A33" s="3">
        <v>32</v>
      </c>
      <c r="B33" s="6" t="s">
        <v>51</v>
      </c>
      <c r="C33" s="6" t="s">
        <v>52</v>
      </c>
      <c r="D33" s="20">
        <v>135.75309999999999</v>
      </c>
      <c r="E33" s="20">
        <v>5.8432000000000004</v>
      </c>
      <c r="F33" s="20">
        <v>-0.12330000000000001</v>
      </c>
      <c r="G33" s="20">
        <v>0</v>
      </c>
      <c r="H33" s="20">
        <v>0</v>
      </c>
      <c r="I33" s="20">
        <v>-0.05</v>
      </c>
      <c r="J33" s="35">
        <v>0.9</v>
      </c>
    </row>
    <row r="34" spans="1:10" x14ac:dyDescent="0.25">
      <c r="A34" s="3">
        <v>33</v>
      </c>
      <c r="B34" s="4" t="s">
        <v>53</v>
      </c>
      <c r="C34" s="7" t="s">
        <v>54</v>
      </c>
      <c r="D34" s="20">
        <v>150.4135</v>
      </c>
      <c r="E34" s="20">
        <v>6.4595000000000002</v>
      </c>
      <c r="F34" s="20">
        <v>-1.72E-2</v>
      </c>
      <c r="G34" s="20">
        <v>0</v>
      </c>
      <c r="H34" s="20">
        <v>0</v>
      </c>
      <c r="I34" s="20">
        <v>0.14000000000000001</v>
      </c>
      <c r="J34" s="35">
        <v>1.37</v>
      </c>
    </row>
    <row r="35" spans="1:10" x14ac:dyDescent="0.25">
      <c r="A35" s="3">
        <v>34</v>
      </c>
      <c r="B35" s="4" t="s">
        <v>55</v>
      </c>
      <c r="C35" s="7" t="s">
        <v>56</v>
      </c>
      <c r="D35" s="20">
        <v>163.9075</v>
      </c>
      <c r="E35" s="20">
        <v>7.2874999999999996</v>
      </c>
      <c r="F35" s="20">
        <v>-3.2399999999999998E-2</v>
      </c>
      <c r="G35" s="20">
        <v>0</v>
      </c>
      <c r="H35" s="20">
        <v>0</v>
      </c>
      <c r="I35" s="20">
        <v>0.36</v>
      </c>
      <c r="J35" s="35">
        <v>2.2799999999999998</v>
      </c>
    </row>
    <row r="36" spans="1:10" x14ac:dyDescent="0.25">
      <c r="A36" s="3">
        <v>35</v>
      </c>
      <c r="B36" s="10" t="s">
        <v>57</v>
      </c>
      <c r="C36" s="9" t="s">
        <v>58</v>
      </c>
      <c r="D36" s="20">
        <v>139.6789</v>
      </c>
      <c r="E36" s="20">
        <v>7.0609999999999999</v>
      </c>
      <c r="F36" s="20">
        <v>-0.1479</v>
      </c>
      <c r="G36" s="20">
        <v>0</v>
      </c>
      <c r="H36" s="20">
        <v>0</v>
      </c>
      <c r="I36" s="20">
        <v>-0.32</v>
      </c>
      <c r="J36" s="35">
        <v>0.48</v>
      </c>
    </row>
    <row r="37" spans="1:10" x14ac:dyDescent="0.25">
      <c r="A37" s="3">
        <v>36</v>
      </c>
      <c r="B37" s="10" t="s">
        <v>59</v>
      </c>
      <c r="C37" s="9" t="s">
        <v>60</v>
      </c>
      <c r="D37" s="20">
        <v>157.81360000000001</v>
      </c>
      <c r="E37" s="20">
        <v>7.7054</v>
      </c>
      <c r="F37" s="20">
        <v>-0.1328</v>
      </c>
      <c r="G37" s="20">
        <v>0</v>
      </c>
      <c r="H37" s="20">
        <v>0</v>
      </c>
      <c r="I37" s="20">
        <v>-0.28000000000000003</v>
      </c>
      <c r="J37" s="35">
        <v>0.53</v>
      </c>
    </row>
    <row r="38" spans="1:10" x14ac:dyDescent="0.25">
      <c r="A38" s="3">
        <v>37</v>
      </c>
      <c r="B38" s="10" t="s">
        <v>61</v>
      </c>
      <c r="C38" s="9" t="s">
        <v>62</v>
      </c>
      <c r="D38" s="20">
        <v>177.8266825689</v>
      </c>
      <c r="E38" s="20">
        <v>8.5952452919999995</v>
      </c>
      <c r="F38" s="20">
        <v>-0.1029570917</v>
      </c>
      <c r="G38" s="20">
        <v>0</v>
      </c>
      <c r="H38" s="20">
        <v>0</v>
      </c>
      <c r="I38" s="20">
        <v>-0.19</v>
      </c>
      <c r="J38" s="35">
        <v>0.65</v>
      </c>
    </row>
    <row r="39" spans="1:10" x14ac:dyDescent="0.25">
      <c r="A39" s="3">
        <v>38</v>
      </c>
      <c r="B39" s="10" t="s">
        <v>63</v>
      </c>
      <c r="C39" s="9" t="s">
        <v>64</v>
      </c>
      <c r="D39" s="20">
        <v>172.5976</v>
      </c>
      <c r="E39" s="20">
        <v>8.6206999999999994</v>
      </c>
      <c r="F39" s="20">
        <v>-0.1125</v>
      </c>
      <c r="G39" s="20">
        <v>0</v>
      </c>
      <c r="H39" s="20">
        <v>0</v>
      </c>
      <c r="I39" s="20">
        <v>-0.19</v>
      </c>
      <c r="J39" s="35">
        <v>0.65</v>
      </c>
    </row>
    <row r="40" spans="1:10" x14ac:dyDescent="0.25">
      <c r="A40" s="3">
        <v>39</v>
      </c>
      <c r="B40" s="10" t="s">
        <v>65</v>
      </c>
      <c r="C40" s="9" t="s">
        <v>66</v>
      </c>
      <c r="D40" s="20">
        <v>192.62100000000001</v>
      </c>
      <c r="E40" s="20">
        <v>9.8869000000000007</v>
      </c>
      <c r="F40" s="20">
        <v>-8.5599999999999996E-2</v>
      </c>
      <c r="G40" s="20">
        <v>0</v>
      </c>
      <c r="H40" s="20">
        <v>0</v>
      </c>
      <c r="I40" s="20">
        <v>-0.3</v>
      </c>
      <c r="J40" s="35">
        <v>0.5</v>
      </c>
    </row>
    <row r="41" spans="1:10" x14ac:dyDescent="0.25">
      <c r="A41" s="3">
        <v>40</v>
      </c>
      <c r="B41" s="10" t="s">
        <v>67</v>
      </c>
      <c r="C41" s="9" t="s">
        <v>68</v>
      </c>
      <c r="D41" s="20">
        <v>153.54939999999999</v>
      </c>
      <c r="E41" s="20">
        <v>7.1641000000000004</v>
      </c>
      <c r="F41" s="20">
        <v>-4.6800000000000001E-2</v>
      </c>
      <c r="G41" s="20">
        <v>0</v>
      </c>
      <c r="H41" s="20">
        <v>0</v>
      </c>
      <c r="I41" s="20">
        <v>-0.17</v>
      </c>
      <c r="J41" s="35">
        <v>0.68</v>
      </c>
    </row>
    <row r="42" spans="1:10" x14ac:dyDescent="0.25">
      <c r="A42" s="3">
        <v>41</v>
      </c>
      <c r="B42" s="10" t="s">
        <v>69</v>
      </c>
      <c r="C42" s="9" t="s">
        <v>70</v>
      </c>
      <c r="D42" s="20">
        <v>171.37143576120002</v>
      </c>
      <c r="E42" s="20">
        <v>8.3897003108000003</v>
      </c>
      <c r="F42" s="20">
        <v>3.4190986800000003E-2</v>
      </c>
      <c r="G42" s="20">
        <v>0</v>
      </c>
      <c r="H42" s="20">
        <v>0</v>
      </c>
      <c r="I42" s="20">
        <v>-0.17</v>
      </c>
      <c r="J42" s="35">
        <v>0.68</v>
      </c>
    </row>
    <row r="43" spans="1:10" x14ac:dyDescent="0.25">
      <c r="A43" s="3">
        <v>42</v>
      </c>
      <c r="B43" s="10" t="s">
        <v>71</v>
      </c>
      <c r="C43" s="9" t="s">
        <v>72</v>
      </c>
      <c r="D43" s="20">
        <v>168.82650000000001</v>
      </c>
      <c r="E43" s="20">
        <v>8.1957000000000004</v>
      </c>
      <c r="F43" s="20">
        <v>-6.2199999999999998E-2</v>
      </c>
      <c r="G43" s="20">
        <v>0</v>
      </c>
      <c r="H43" s="20">
        <v>0</v>
      </c>
      <c r="I43" s="20">
        <v>-0.11</v>
      </c>
      <c r="J43" s="35">
        <v>0.77</v>
      </c>
    </row>
    <row r="44" spans="1:10" x14ac:dyDescent="0.25">
      <c r="A44" s="3">
        <v>43</v>
      </c>
      <c r="B44" s="10" t="s">
        <v>73</v>
      </c>
      <c r="C44" s="9" t="s">
        <v>74</v>
      </c>
      <c r="D44" s="20">
        <v>191.5977</v>
      </c>
      <c r="E44" s="20">
        <v>8.7933000000000003</v>
      </c>
      <c r="F44" s="20">
        <v>-8.3699999999999997E-2</v>
      </c>
      <c r="G44" s="20">
        <v>0</v>
      </c>
      <c r="H44" s="20">
        <v>0</v>
      </c>
      <c r="I44" s="20">
        <v>-0.02</v>
      </c>
      <c r="J44" s="35">
        <v>0.95</v>
      </c>
    </row>
    <row r="45" spans="1:10" x14ac:dyDescent="0.25">
      <c r="A45" s="3">
        <v>44</v>
      </c>
      <c r="B45" s="10" t="s">
        <v>75</v>
      </c>
      <c r="C45" s="9" t="s">
        <v>76</v>
      </c>
      <c r="D45" s="20">
        <v>185.9993373248</v>
      </c>
      <c r="E45" s="20">
        <v>8.8508170973999984</v>
      </c>
      <c r="F45" s="20">
        <v>-0.17651686279999998</v>
      </c>
      <c r="G45" s="20">
        <v>0</v>
      </c>
      <c r="H45" s="20">
        <v>0</v>
      </c>
      <c r="I45" s="20">
        <v>-0.01</v>
      </c>
      <c r="J45" s="35">
        <v>0.98</v>
      </c>
    </row>
    <row r="46" spans="1:10" x14ac:dyDescent="0.25">
      <c r="A46" s="3">
        <v>45</v>
      </c>
      <c r="B46" s="10" t="s">
        <v>77</v>
      </c>
      <c r="C46" s="9" t="s">
        <v>78</v>
      </c>
      <c r="D46" s="20">
        <v>211.4124723068</v>
      </c>
      <c r="E46" s="20">
        <v>9.6433087204000003</v>
      </c>
      <c r="F46" s="20">
        <v>-4.2155774800000004E-2</v>
      </c>
      <c r="G46" s="20">
        <v>0</v>
      </c>
      <c r="H46" s="20">
        <v>0</v>
      </c>
      <c r="I46" s="22">
        <v>0.09</v>
      </c>
      <c r="J46" s="35">
        <v>1.22</v>
      </c>
    </row>
    <row r="47" spans="1:10" x14ac:dyDescent="0.25">
      <c r="A47" s="3">
        <v>46</v>
      </c>
      <c r="B47" s="10" t="s">
        <v>79</v>
      </c>
      <c r="C47" s="9" t="s">
        <v>80</v>
      </c>
      <c r="D47" s="20">
        <v>206.30029999999999</v>
      </c>
      <c r="E47" s="20">
        <v>10.0707</v>
      </c>
      <c r="F47" s="20">
        <v>-6.0299999999999999E-2</v>
      </c>
      <c r="G47" s="20">
        <v>0</v>
      </c>
      <c r="H47" s="20">
        <v>0</v>
      </c>
      <c r="I47" s="20">
        <v>0.05</v>
      </c>
      <c r="J47" s="35">
        <v>1.1200000000000001</v>
      </c>
    </row>
    <row r="48" spans="1:10" x14ac:dyDescent="0.25">
      <c r="A48" s="3">
        <v>47</v>
      </c>
      <c r="B48" s="6" t="s">
        <v>81</v>
      </c>
      <c r="C48" s="4" t="s">
        <v>82</v>
      </c>
      <c r="D48" s="20">
        <v>184.49809999999999</v>
      </c>
      <c r="E48" s="20">
        <v>7.9614000000000003</v>
      </c>
      <c r="F48" s="20">
        <v>-1.2699999999999999E-2</v>
      </c>
      <c r="G48" s="20">
        <v>0</v>
      </c>
      <c r="H48" s="20">
        <v>0</v>
      </c>
      <c r="I48" s="20">
        <v>0.48</v>
      </c>
      <c r="J48" s="35">
        <v>3.01</v>
      </c>
    </row>
    <row r="49" spans="1:10" x14ac:dyDescent="0.25">
      <c r="A49" s="3">
        <v>48</v>
      </c>
      <c r="B49" s="11" t="s">
        <v>83</v>
      </c>
      <c r="C49" s="7" t="s">
        <v>84</v>
      </c>
      <c r="D49" s="20">
        <v>116.8948</v>
      </c>
      <c r="E49" s="20">
        <v>13.3833</v>
      </c>
      <c r="F49" s="20">
        <v>2.3563000000000001</v>
      </c>
      <c r="G49" s="20">
        <v>4.5900000000000003E-2</v>
      </c>
      <c r="H49" s="20">
        <v>0</v>
      </c>
      <c r="I49" s="20">
        <v>-0.64</v>
      </c>
      <c r="J49" s="35">
        <v>0.23</v>
      </c>
    </row>
    <row r="50" spans="1:10" x14ac:dyDescent="0.25">
      <c r="A50" s="3">
        <v>49</v>
      </c>
      <c r="B50" s="10" t="s">
        <v>85</v>
      </c>
      <c r="C50" s="9" t="s">
        <v>86</v>
      </c>
      <c r="D50" s="20">
        <v>135.5153</v>
      </c>
      <c r="E50" s="20">
        <v>14.430300000000001</v>
      </c>
      <c r="F50" s="20">
        <v>2.4577</v>
      </c>
      <c r="G50" s="20">
        <v>6.0999999999999999E-2</v>
      </c>
      <c r="H50" s="20">
        <v>0</v>
      </c>
      <c r="I50" s="20">
        <v>-0.54</v>
      </c>
      <c r="J50" s="35">
        <v>0.28999999999999998</v>
      </c>
    </row>
    <row r="51" spans="1:10" x14ac:dyDescent="0.25">
      <c r="A51" s="3">
        <v>50</v>
      </c>
      <c r="B51" s="6" t="s">
        <v>87</v>
      </c>
      <c r="C51" s="4" t="s">
        <v>88</v>
      </c>
      <c r="D51" s="20">
        <v>132.02959999999999</v>
      </c>
      <c r="E51" s="20">
        <v>14.157500000000001</v>
      </c>
      <c r="F51" s="20">
        <v>3.7551999999999999</v>
      </c>
      <c r="G51" s="20">
        <v>4.19E-2</v>
      </c>
      <c r="H51" s="20">
        <v>0</v>
      </c>
      <c r="I51" s="20">
        <v>-0.21</v>
      </c>
      <c r="J51" s="35">
        <v>0.62</v>
      </c>
    </row>
    <row r="52" spans="1:10" x14ac:dyDescent="0.25">
      <c r="A52" s="3">
        <v>51</v>
      </c>
      <c r="B52" s="10" t="s">
        <v>89</v>
      </c>
      <c r="C52" s="9" t="s">
        <v>90</v>
      </c>
      <c r="D52" s="20">
        <v>150.83590000000001</v>
      </c>
      <c r="E52" s="20">
        <v>14.0069</v>
      </c>
      <c r="F52" s="20">
        <v>3.0773000000000001</v>
      </c>
      <c r="G52" s="20">
        <v>2.7E-2</v>
      </c>
      <c r="H52" s="20">
        <v>0</v>
      </c>
      <c r="I52" s="20">
        <v>-0.38</v>
      </c>
      <c r="J52" s="35">
        <v>0.42</v>
      </c>
    </row>
    <row r="53" spans="1:10" x14ac:dyDescent="0.25">
      <c r="A53" s="3">
        <v>52</v>
      </c>
      <c r="B53" s="6" t="s">
        <v>91</v>
      </c>
      <c r="C53" s="6" t="s">
        <v>92</v>
      </c>
      <c r="D53" s="20">
        <v>122.4183</v>
      </c>
      <c r="E53" s="20">
        <v>22.9756</v>
      </c>
      <c r="F53" s="20">
        <v>-1.2692000000000001</v>
      </c>
      <c r="G53" s="20">
        <v>0</v>
      </c>
      <c r="H53" s="20">
        <v>0</v>
      </c>
      <c r="I53" s="20">
        <v>-0.21</v>
      </c>
      <c r="J53" s="35">
        <v>0.61</v>
      </c>
    </row>
    <row r="54" spans="1:10" x14ac:dyDescent="0.25">
      <c r="A54" s="3">
        <v>53</v>
      </c>
      <c r="B54" s="6" t="s">
        <v>93</v>
      </c>
      <c r="C54" s="6" t="s">
        <v>94</v>
      </c>
      <c r="D54" s="20">
        <v>141.8115</v>
      </c>
      <c r="E54" s="20">
        <v>23.5852</v>
      </c>
      <c r="F54" s="20">
        <v>7.6499999999999999E-2</v>
      </c>
      <c r="G54" s="20">
        <v>0</v>
      </c>
      <c r="H54" s="20">
        <v>0</v>
      </c>
      <c r="I54" s="20">
        <v>-0.26</v>
      </c>
      <c r="J54" s="35">
        <v>0.55000000000000004</v>
      </c>
    </row>
    <row r="55" spans="1:10" x14ac:dyDescent="0.25">
      <c r="A55" s="3">
        <v>54</v>
      </c>
      <c r="B55" s="6" t="s">
        <v>95</v>
      </c>
      <c r="C55" s="6" t="s">
        <v>96</v>
      </c>
      <c r="D55" s="20">
        <v>157.76009999999999</v>
      </c>
      <c r="E55" s="20">
        <v>24.7927</v>
      </c>
      <c r="F55" s="20">
        <v>1.1936</v>
      </c>
      <c r="G55" s="20">
        <v>0</v>
      </c>
      <c r="H55" s="20">
        <v>0</v>
      </c>
      <c r="I55" s="20">
        <v>-0.12</v>
      </c>
      <c r="J55" s="35">
        <v>0.76</v>
      </c>
    </row>
    <row r="56" spans="1:10" x14ac:dyDescent="0.25">
      <c r="A56" s="3">
        <v>55</v>
      </c>
      <c r="B56" s="6" t="s">
        <v>97</v>
      </c>
      <c r="C56" s="6" t="s">
        <v>98</v>
      </c>
      <c r="D56" s="20">
        <v>161.06129999999999</v>
      </c>
      <c r="E56" s="20">
        <v>24.167000000000002</v>
      </c>
      <c r="F56" s="20">
        <v>1.2350000000000001</v>
      </c>
      <c r="G56" s="20">
        <v>0</v>
      </c>
      <c r="H56" s="20">
        <v>0</v>
      </c>
      <c r="I56" s="20">
        <v>-0.24</v>
      </c>
      <c r="J56" s="35">
        <v>0.57999999999999996</v>
      </c>
    </row>
    <row r="57" spans="1:10" x14ac:dyDescent="0.25">
      <c r="A57" s="3">
        <v>56</v>
      </c>
      <c r="B57" s="6" t="s">
        <v>99</v>
      </c>
      <c r="C57" s="6" t="s">
        <v>100</v>
      </c>
      <c r="D57" s="20">
        <v>161.16229999999999</v>
      </c>
      <c r="E57" s="20">
        <v>23.8874</v>
      </c>
      <c r="F57" s="20">
        <v>1.1838</v>
      </c>
      <c r="G57" s="20">
        <v>0</v>
      </c>
      <c r="H57" s="20">
        <v>0</v>
      </c>
      <c r="I57" s="20">
        <v>-0.22</v>
      </c>
      <c r="J57" s="35">
        <v>0.6</v>
      </c>
    </row>
    <row r="58" spans="1:10" x14ac:dyDescent="0.25">
      <c r="A58" s="3">
        <v>57</v>
      </c>
      <c r="B58" s="6" t="s">
        <v>101</v>
      </c>
      <c r="C58" s="6" t="s">
        <v>102</v>
      </c>
      <c r="D58" s="20">
        <v>160.64109999999999</v>
      </c>
      <c r="E58" s="20">
        <v>24.310099999999998</v>
      </c>
      <c r="F58" s="20">
        <v>0.44379999999999997</v>
      </c>
      <c r="G58" s="20">
        <v>0</v>
      </c>
      <c r="H58" s="20">
        <v>0</v>
      </c>
      <c r="I58" s="20">
        <v>-0.2</v>
      </c>
      <c r="J58" s="35">
        <v>0.63</v>
      </c>
    </row>
    <row r="59" spans="1:10" x14ac:dyDescent="0.25">
      <c r="A59" s="3">
        <v>58</v>
      </c>
      <c r="B59" s="10" t="s">
        <v>103</v>
      </c>
      <c r="C59" s="9" t="s">
        <v>104</v>
      </c>
      <c r="D59" s="20">
        <v>173.76140000000001</v>
      </c>
      <c r="E59" s="20">
        <v>25.43</v>
      </c>
      <c r="F59" s="20">
        <v>2.3618999999999999</v>
      </c>
      <c r="G59" s="20">
        <v>0</v>
      </c>
      <c r="H59" s="20">
        <v>0</v>
      </c>
      <c r="I59" s="20">
        <v>-7.0000000000000007E-2</v>
      </c>
      <c r="J59" s="35">
        <v>0.86</v>
      </c>
    </row>
    <row r="60" spans="1:10" x14ac:dyDescent="0.25">
      <c r="A60" s="3">
        <v>59</v>
      </c>
      <c r="B60" s="10" t="s">
        <v>105</v>
      </c>
      <c r="C60" s="9" t="s">
        <v>106</v>
      </c>
      <c r="D60" s="20">
        <v>177.08369999999999</v>
      </c>
      <c r="E60" s="20">
        <v>25.038799999999998</v>
      </c>
      <c r="F60" s="20">
        <v>2.2484000000000002</v>
      </c>
      <c r="G60" s="20">
        <v>0</v>
      </c>
      <c r="H60" s="20">
        <v>0</v>
      </c>
      <c r="I60" s="20">
        <v>-0.04</v>
      </c>
      <c r="J60" s="35">
        <v>0.92</v>
      </c>
    </row>
    <row r="61" spans="1:10" x14ac:dyDescent="0.25">
      <c r="A61" s="3">
        <v>60</v>
      </c>
      <c r="B61" s="6" t="s">
        <v>107</v>
      </c>
      <c r="C61" s="4" t="s">
        <v>108</v>
      </c>
      <c r="D61" s="20">
        <v>180.28489999999999</v>
      </c>
      <c r="E61" s="20">
        <v>24.679600000000001</v>
      </c>
      <c r="F61" s="20">
        <v>2.2463000000000002</v>
      </c>
      <c r="G61" s="20">
        <v>0</v>
      </c>
      <c r="H61" s="20">
        <v>0</v>
      </c>
      <c r="I61" s="22">
        <v>-0.16</v>
      </c>
      <c r="J61" s="35">
        <v>0.69</v>
      </c>
    </row>
    <row r="62" spans="1:10" x14ac:dyDescent="0.25">
      <c r="A62" s="3">
        <v>61</v>
      </c>
      <c r="B62" s="10" t="s">
        <v>109</v>
      </c>
      <c r="C62" s="9" t="s">
        <v>110</v>
      </c>
      <c r="D62" s="20">
        <v>180.5916</v>
      </c>
      <c r="E62" s="20">
        <v>25.286999999999999</v>
      </c>
      <c r="F62" s="20">
        <v>0.67059999999999997</v>
      </c>
      <c r="G62" s="20">
        <v>0</v>
      </c>
      <c r="H62" s="20">
        <v>0</v>
      </c>
      <c r="I62" s="20">
        <v>-0.1</v>
      </c>
      <c r="J62" s="35">
        <v>0.79</v>
      </c>
    </row>
    <row r="63" spans="1:10" x14ac:dyDescent="0.25">
      <c r="A63" s="3">
        <v>62</v>
      </c>
      <c r="B63" s="10" t="s">
        <v>111</v>
      </c>
      <c r="C63" s="9" t="s">
        <v>112</v>
      </c>
      <c r="D63" s="20">
        <v>192.80099999999999</v>
      </c>
      <c r="E63" s="20">
        <v>25.711200000000002</v>
      </c>
      <c r="F63" s="20">
        <v>1.9512</v>
      </c>
      <c r="G63" s="20">
        <v>0</v>
      </c>
      <c r="H63" s="20">
        <v>0</v>
      </c>
      <c r="I63" s="20">
        <v>-0.05</v>
      </c>
      <c r="J63" s="35">
        <v>0.9</v>
      </c>
    </row>
    <row r="64" spans="1:10" x14ac:dyDescent="0.25">
      <c r="A64" s="3">
        <v>63</v>
      </c>
      <c r="B64" s="10" t="s">
        <v>113</v>
      </c>
      <c r="C64" s="9" t="s">
        <v>114</v>
      </c>
      <c r="D64" s="20">
        <v>198.62459999999999</v>
      </c>
      <c r="E64" s="20">
        <v>25.407399999999999</v>
      </c>
      <c r="F64" s="20">
        <v>2.0028999999999999</v>
      </c>
      <c r="G64" s="20">
        <v>0</v>
      </c>
      <c r="H64" s="20">
        <v>0</v>
      </c>
      <c r="I64" s="20">
        <v>-0.1</v>
      </c>
      <c r="J64" s="35">
        <v>0.8</v>
      </c>
    </row>
    <row r="65" spans="1:10" x14ac:dyDescent="0.25">
      <c r="A65" s="3">
        <v>64</v>
      </c>
      <c r="B65" s="10" t="s">
        <v>115</v>
      </c>
      <c r="C65" s="9" t="s">
        <v>116</v>
      </c>
      <c r="D65" s="20">
        <v>198.8056</v>
      </c>
      <c r="E65" s="20">
        <v>25.290299999999998</v>
      </c>
      <c r="F65" s="20">
        <v>1.8846000000000001</v>
      </c>
      <c r="G65" s="20">
        <v>0</v>
      </c>
      <c r="H65" s="20">
        <v>0</v>
      </c>
      <c r="I65" s="22">
        <v>-0.05</v>
      </c>
      <c r="J65" s="35">
        <v>0.89</v>
      </c>
    </row>
    <row r="66" spans="1:10" x14ac:dyDescent="0.25">
      <c r="A66" s="3">
        <v>65</v>
      </c>
      <c r="B66" s="10" t="s">
        <v>117</v>
      </c>
      <c r="C66" s="9" t="s">
        <v>118</v>
      </c>
      <c r="D66" s="20">
        <v>200.66909999999999</v>
      </c>
      <c r="E66" s="20">
        <v>26.203700000000001</v>
      </c>
      <c r="F66" s="20">
        <v>0.79990000000000006</v>
      </c>
      <c r="G66" s="20">
        <v>0</v>
      </c>
      <c r="H66" s="20">
        <v>0</v>
      </c>
      <c r="I66" s="20">
        <v>-0.01</v>
      </c>
      <c r="J66" s="35">
        <v>0.97</v>
      </c>
    </row>
    <row r="67" spans="1:10" x14ac:dyDescent="0.25">
      <c r="A67" s="3">
        <v>66</v>
      </c>
      <c r="B67" s="10" t="s">
        <v>119</v>
      </c>
      <c r="C67" s="9" t="s">
        <v>120</v>
      </c>
      <c r="D67" s="20">
        <v>194.3338</v>
      </c>
      <c r="E67" s="20">
        <v>25.361599999999999</v>
      </c>
      <c r="F67" s="20">
        <v>0.37030000000000002</v>
      </c>
      <c r="G67" s="20">
        <v>0</v>
      </c>
      <c r="H67" s="20">
        <v>0</v>
      </c>
      <c r="I67" s="20">
        <v>-0.09</v>
      </c>
      <c r="J67" s="35">
        <v>0.81</v>
      </c>
    </row>
    <row r="68" spans="1:10" x14ac:dyDescent="0.25">
      <c r="A68" s="3">
        <v>67</v>
      </c>
      <c r="B68" s="10" t="s">
        <v>121</v>
      </c>
      <c r="C68" s="9" t="s">
        <v>122</v>
      </c>
      <c r="D68" s="20">
        <v>194.291</v>
      </c>
      <c r="E68" s="20">
        <v>26.268699999999999</v>
      </c>
      <c r="F68" s="20">
        <v>0.56310000000000004</v>
      </c>
      <c r="G68" s="20">
        <v>0</v>
      </c>
      <c r="H68" s="20">
        <v>0</v>
      </c>
      <c r="I68" s="20">
        <v>-0.01</v>
      </c>
      <c r="J68" s="35">
        <v>0.97</v>
      </c>
    </row>
    <row r="69" spans="1:10" x14ac:dyDescent="0.25">
      <c r="A69" s="3">
        <v>68</v>
      </c>
      <c r="B69" s="10" t="s">
        <v>123</v>
      </c>
      <c r="C69" s="9" t="s">
        <v>124</v>
      </c>
      <c r="D69" s="20">
        <v>175.11600000000001</v>
      </c>
      <c r="E69" s="20">
        <v>25.295300000000001</v>
      </c>
      <c r="F69" s="20">
        <v>1.4897</v>
      </c>
      <c r="G69" s="20">
        <v>0</v>
      </c>
      <c r="H69" s="20">
        <v>0</v>
      </c>
      <c r="I69" s="20">
        <v>-0.15</v>
      </c>
      <c r="J69" s="35">
        <v>0.71</v>
      </c>
    </row>
    <row r="70" spans="1:10" x14ac:dyDescent="0.25">
      <c r="A70" s="3">
        <v>69</v>
      </c>
      <c r="B70" s="10" t="s">
        <v>125</v>
      </c>
      <c r="C70" s="9" t="s">
        <v>126</v>
      </c>
      <c r="D70" s="20">
        <v>179.84690000000001</v>
      </c>
      <c r="E70" s="20">
        <v>24.708400000000001</v>
      </c>
      <c r="F70" s="20">
        <v>1.5791999999999999</v>
      </c>
      <c r="G70" s="20">
        <v>0</v>
      </c>
      <c r="H70" s="20">
        <v>0</v>
      </c>
      <c r="I70" s="20">
        <v>-0.18</v>
      </c>
      <c r="J70" s="35">
        <v>0.66</v>
      </c>
    </row>
    <row r="71" spans="1:10" x14ac:dyDescent="0.25">
      <c r="A71" s="3">
        <v>70</v>
      </c>
      <c r="B71" s="10" t="s">
        <v>127</v>
      </c>
      <c r="C71" s="9" t="s">
        <v>128</v>
      </c>
      <c r="D71" s="20">
        <v>180.00790000000001</v>
      </c>
      <c r="E71" s="20">
        <v>24.673100000000002</v>
      </c>
      <c r="F71" s="20">
        <v>1.5495000000000001</v>
      </c>
      <c r="G71" s="20">
        <v>0</v>
      </c>
      <c r="H71" s="20">
        <v>0</v>
      </c>
      <c r="I71" s="20">
        <v>-0.18</v>
      </c>
      <c r="J71" s="35">
        <v>0.66</v>
      </c>
    </row>
    <row r="72" spans="1:10" x14ac:dyDescent="0.25">
      <c r="A72" s="3">
        <v>71</v>
      </c>
      <c r="B72" s="10" t="s">
        <v>129</v>
      </c>
      <c r="C72" s="9" t="s">
        <v>130</v>
      </c>
      <c r="D72" s="20">
        <v>321.1438</v>
      </c>
      <c r="E72" s="20">
        <v>31.555900000000001</v>
      </c>
      <c r="F72" s="20">
        <v>1.0931999999999999</v>
      </c>
      <c r="G72" s="20">
        <v>0</v>
      </c>
      <c r="H72" s="20">
        <v>0</v>
      </c>
      <c r="I72" s="20">
        <v>0.53</v>
      </c>
      <c r="J72" s="35">
        <v>3.4</v>
      </c>
    </row>
    <row r="73" spans="1:10" x14ac:dyDescent="0.25">
      <c r="A73" s="3">
        <v>72</v>
      </c>
      <c r="B73" s="6" t="s">
        <v>131</v>
      </c>
      <c r="C73" s="6" t="s">
        <v>132</v>
      </c>
      <c r="D73" s="20">
        <v>155.0966</v>
      </c>
      <c r="E73" s="20">
        <v>30.253799999999998</v>
      </c>
      <c r="F73" s="20">
        <v>-2.6513</v>
      </c>
      <c r="G73" s="20">
        <v>2.0000000000000001E-4</v>
      </c>
      <c r="H73" s="20">
        <v>1.5E-3</v>
      </c>
      <c r="I73" s="20">
        <v>-0.15</v>
      </c>
      <c r="J73" s="35">
        <v>0.7</v>
      </c>
    </row>
    <row r="74" spans="1:10" x14ac:dyDescent="0.25">
      <c r="A74" s="3">
        <v>73</v>
      </c>
      <c r="B74" s="6" t="s">
        <v>133</v>
      </c>
      <c r="C74" s="6" t="s">
        <v>134</v>
      </c>
      <c r="D74" s="20">
        <v>177.99529999999999</v>
      </c>
      <c r="E74" s="20">
        <v>23.924299999999999</v>
      </c>
      <c r="F74" s="20">
        <v>2.5398999999999998</v>
      </c>
      <c r="G74" s="20">
        <v>0</v>
      </c>
      <c r="H74" s="20">
        <v>0</v>
      </c>
      <c r="I74" s="20">
        <v>0.3</v>
      </c>
      <c r="J74" s="35">
        <v>2</v>
      </c>
    </row>
    <row r="75" spans="1:10" x14ac:dyDescent="0.25">
      <c r="A75" s="3">
        <v>74</v>
      </c>
      <c r="B75" s="6" t="s">
        <v>135</v>
      </c>
      <c r="C75" s="6" t="s">
        <v>136</v>
      </c>
      <c r="D75" s="20">
        <v>68.409599999999998</v>
      </c>
      <c r="E75" s="20">
        <v>45.842399999999998</v>
      </c>
      <c r="F75" s="20">
        <v>14.2247</v>
      </c>
      <c r="G75" s="20">
        <v>3.5468000000000002</v>
      </c>
      <c r="H75" s="20">
        <v>2.1846000000000001</v>
      </c>
      <c r="I75" s="20">
        <v>-0.27</v>
      </c>
      <c r="J75" s="35">
        <v>0.54</v>
      </c>
    </row>
    <row r="76" spans="1:10" x14ac:dyDescent="0.25">
      <c r="A76" s="3">
        <v>75</v>
      </c>
      <c r="B76" s="6" t="s">
        <v>137</v>
      </c>
      <c r="C76" s="6" t="s">
        <v>138</v>
      </c>
      <c r="D76" s="20">
        <v>89.365186387199998</v>
      </c>
      <c r="E76" s="20">
        <v>46.708110914000002</v>
      </c>
      <c r="F76" s="20">
        <v>18.146383281999999</v>
      </c>
      <c r="G76" s="20">
        <v>3.84083263</v>
      </c>
      <c r="H76" s="20">
        <v>2.0234219717999999</v>
      </c>
      <c r="I76" s="20">
        <v>0.03</v>
      </c>
      <c r="J76" s="35">
        <v>1.07</v>
      </c>
    </row>
    <row r="77" spans="1:10" x14ac:dyDescent="0.25">
      <c r="A77" s="3">
        <v>76</v>
      </c>
      <c r="B77" s="6" t="s">
        <v>139</v>
      </c>
      <c r="C77" s="6" t="s">
        <v>140</v>
      </c>
      <c r="D77" s="20">
        <v>109.1605164156</v>
      </c>
      <c r="E77" s="20">
        <v>46.529198837799996</v>
      </c>
      <c r="F77" s="20">
        <v>17.6246545248</v>
      </c>
      <c r="G77" s="20">
        <v>3.7693627003000003</v>
      </c>
      <c r="H77" s="20">
        <v>1.9593230222999996</v>
      </c>
      <c r="I77" s="20">
        <v>0.28000000000000003</v>
      </c>
      <c r="J77" s="35">
        <v>1.9</v>
      </c>
    </row>
    <row r="78" spans="1:10" x14ac:dyDescent="0.25">
      <c r="A78" s="3">
        <v>77</v>
      </c>
      <c r="B78" s="6" t="s">
        <v>141</v>
      </c>
      <c r="C78" s="4" t="s">
        <v>142</v>
      </c>
      <c r="D78" s="20">
        <v>108.19348998549999</v>
      </c>
      <c r="E78" s="20">
        <v>47.015593033499997</v>
      </c>
      <c r="F78" s="20">
        <v>20.945257848600001</v>
      </c>
      <c r="G78" s="20">
        <v>3.8826267472999998</v>
      </c>
      <c r="H78" s="20">
        <v>1.8631292436999998</v>
      </c>
      <c r="I78" s="20">
        <v>0.3</v>
      </c>
      <c r="J78" s="35">
        <v>2</v>
      </c>
    </row>
    <row r="79" spans="1:10" x14ac:dyDescent="0.25">
      <c r="A79" s="3">
        <v>78</v>
      </c>
      <c r="B79" s="6" t="s">
        <v>143</v>
      </c>
      <c r="C79" s="6" t="s">
        <v>144</v>
      </c>
      <c r="D79" s="20">
        <v>128.94854112510001</v>
      </c>
      <c r="E79" s="20">
        <v>47.016780041700002</v>
      </c>
      <c r="F79" s="20">
        <v>17.894629040999998</v>
      </c>
      <c r="G79" s="20">
        <v>3.6558607936</v>
      </c>
      <c r="H79" s="20">
        <v>1.9563535445</v>
      </c>
      <c r="I79" s="20">
        <v>0.41</v>
      </c>
      <c r="J79" s="35">
        <v>2.6</v>
      </c>
    </row>
    <row r="80" spans="1:10" x14ac:dyDescent="0.25">
      <c r="A80" s="3">
        <v>79</v>
      </c>
      <c r="B80" s="6" t="s">
        <v>145</v>
      </c>
      <c r="C80" s="4" t="s">
        <v>146</v>
      </c>
      <c r="D80" s="20">
        <v>126.8006235142</v>
      </c>
      <c r="E80" s="20">
        <v>45.576190471399997</v>
      </c>
      <c r="F80" s="20">
        <v>19.177168159799997</v>
      </c>
      <c r="G80" s="20">
        <v>3.6318631331</v>
      </c>
      <c r="H80" s="20">
        <v>1.7786625025</v>
      </c>
      <c r="I80" s="20">
        <v>0.51</v>
      </c>
      <c r="J80" s="35">
        <v>3.2</v>
      </c>
    </row>
    <row r="81" spans="1:10" x14ac:dyDescent="0.25">
      <c r="A81" s="3">
        <v>80</v>
      </c>
      <c r="B81" s="6" t="s">
        <v>147</v>
      </c>
      <c r="C81" s="4" t="s">
        <v>148</v>
      </c>
      <c r="D81" s="20">
        <v>125.9461477518</v>
      </c>
      <c r="E81" s="20">
        <v>45.226744962199994</v>
      </c>
      <c r="F81" s="20">
        <v>15.171739713900001</v>
      </c>
      <c r="G81" s="20">
        <v>3.4764353014</v>
      </c>
      <c r="H81" s="20">
        <v>1.9060501124000002</v>
      </c>
      <c r="I81" s="20">
        <v>0.52</v>
      </c>
      <c r="J81" s="35">
        <v>3.3</v>
      </c>
    </row>
    <row r="82" spans="1:10" x14ac:dyDescent="0.25">
      <c r="A82" s="3">
        <v>81</v>
      </c>
      <c r="B82" s="6" t="s">
        <v>149</v>
      </c>
      <c r="C82" s="4" t="s">
        <v>150</v>
      </c>
      <c r="D82" s="20">
        <v>124.69240000000001</v>
      </c>
      <c r="E82" s="20">
        <v>47.4557</v>
      </c>
      <c r="F82" s="20">
        <v>22.329599999999999</v>
      </c>
      <c r="G82" s="20">
        <v>3.9998</v>
      </c>
      <c r="H82" s="20">
        <v>1.7374000000000001</v>
      </c>
      <c r="I82" s="20">
        <v>0.64</v>
      </c>
      <c r="J82" s="35">
        <v>4.4000000000000004</v>
      </c>
    </row>
    <row r="83" spans="1:10" x14ac:dyDescent="0.25">
      <c r="A83" s="3">
        <v>82</v>
      </c>
      <c r="B83" s="6" t="s">
        <v>151</v>
      </c>
      <c r="C83" s="6" t="s">
        <v>152</v>
      </c>
      <c r="D83" s="20">
        <v>149.14750397190002</v>
      </c>
      <c r="E83" s="20">
        <v>48.0385108109</v>
      </c>
      <c r="F83" s="20">
        <v>18.0626969297</v>
      </c>
      <c r="G83" s="20">
        <v>3.6239144232</v>
      </c>
      <c r="H83" s="20">
        <v>1.9460279341</v>
      </c>
      <c r="I83" s="20">
        <v>0.54</v>
      </c>
      <c r="J83" s="35">
        <v>3.5</v>
      </c>
    </row>
    <row r="84" spans="1:10" x14ac:dyDescent="0.25">
      <c r="A84" s="3">
        <v>83</v>
      </c>
      <c r="B84" s="10" t="s">
        <v>153</v>
      </c>
      <c r="C84" s="9" t="s">
        <v>154</v>
      </c>
      <c r="D84" s="20">
        <v>144.6196657017</v>
      </c>
      <c r="E84" s="20">
        <v>47.821840169799998</v>
      </c>
      <c r="F84" s="20">
        <v>16.5516714257</v>
      </c>
      <c r="G84" s="20">
        <v>3.7133950541000003</v>
      </c>
      <c r="H84" s="20">
        <v>2.0542528838000003</v>
      </c>
      <c r="I84" s="20">
        <v>0.56000000000000005</v>
      </c>
      <c r="J84" s="35">
        <v>3.6</v>
      </c>
    </row>
    <row r="85" spans="1:10" x14ac:dyDescent="0.25">
      <c r="A85" s="3">
        <v>84</v>
      </c>
      <c r="B85" s="6" t="s">
        <v>155</v>
      </c>
      <c r="C85" s="4" t="s">
        <v>156</v>
      </c>
      <c r="D85" s="20">
        <v>169.17120939510002</v>
      </c>
      <c r="E85" s="20">
        <v>49.0815470167</v>
      </c>
      <c r="F85" s="20">
        <v>17.601086916500005</v>
      </c>
      <c r="G85" s="20">
        <v>3.7120060830999995</v>
      </c>
      <c r="H85" s="20">
        <v>1.9965753964000001</v>
      </c>
      <c r="I85" s="20">
        <v>0.65</v>
      </c>
      <c r="J85" s="35">
        <v>4.5</v>
      </c>
    </row>
    <row r="86" spans="1:10" x14ac:dyDescent="0.25">
      <c r="A86" s="3">
        <v>85</v>
      </c>
      <c r="B86" s="6" t="s">
        <v>157</v>
      </c>
      <c r="C86" s="6" t="s">
        <v>158</v>
      </c>
      <c r="D86" s="20">
        <v>162.29910353670002</v>
      </c>
      <c r="E86" s="20">
        <v>46.980951618899994</v>
      </c>
      <c r="F86" s="20">
        <v>17.441670164799998</v>
      </c>
      <c r="G86" s="20">
        <v>3.5120418655000001</v>
      </c>
      <c r="H86" s="20">
        <v>1.7849262973</v>
      </c>
      <c r="I86" s="22">
        <v>0.61</v>
      </c>
      <c r="J86" s="35">
        <v>4.0999999999999996</v>
      </c>
    </row>
    <row r="87" spans="1:10" x14ac:dyDescent="0.25">
      <c r="A87" s="3">
        <v>86</v>
      </c>
      <c r="B87" s="6" t="s">
        <v>159</v>
      </c>
      <c r="C87" s="6" t="s">
        <v>160</v>
      </c>
      <c r="D87" s="20">
        <v>159.7760319745</v>
      </c>
      <c r="E87" s="20">
        <v>44.992558032700003</v>
      </c>
      <c r="F87" s="20">
        <v>15.146923320400001</v>
      </c>
      <c r="G87" s="20">
        <v>3.3895278594000002</v>
      </c>
      <c r="H87" s="20">
        <v>1.7998225708000002</v>
      </c>
      <c r="I87" s="20">
        <v>0.77</v>
      </c>
      <c r="J87" s="35">
        <v>5.9</v>
      </c>
    </row>
    <row r="88" spans="1:10" x14ac:dyDescent="0.25">
      <c r="A88" s="3">
        <v>87</v>
      </c>
      <c r="B88" s="4" t="s">
        <v>161</v>
      </c>
      <c r="C88" s="4" t="s">
        <v>162</v>
      </c>
      <c r="D88" s="20">
        <v>189.22955499859998</v>
      </c>
      <c r="E88" s="20">
        <v>49.773468033699999</v>
      </c>
      <c r="F88" s="20">
        <v>17.885690439800001</v>
      </c>
      <c r="G88" s="20">
        <v>3.7598196157000006</v>
      </c>
      <c r="H88" s="20">
        <v>2.0342005732000001</v>
      </c>
      <c r="I88" s="20">
        <v>0.76</v>
      </c>
      <c r="J88" s="35">
        <v>5.8</v>
      </c>
    </row>
    <row r="89" spans="1:10" x14ac:dyDescent="0.25">
      <c r="A89" s="3">
        <v>88</v>
      </c>
      <c r="B89" s="6" t="s">
        <v>163</v>
      </c>
      <c r="C89" s="4" t="s">
        <v>164</v>
      </c>
      <c r="D89" s="20">
        <v>209.34213292199999</v>
      </c>
      <c r="E89" s="20">
        <v>50.691072951000002</v>
      </c>
      <c r="F89" s="20">
        <v>18.098888257399995</v>
      </c>
      <c r="G89" s="20">
        <v>3.6672172877999998</v>
      </c>
      <c r="H89" s="20">
        <v>1.9849197749</v>
      </c>
      <c r="I89" s="20">
        <v>0.88</v>
      </c>
      <c r="J89" s="35">
        <v>7.5</v>
      </c>
    </row>
    <row r="90" spans="1:10" x14ac:dyDescent="0.25">
      <c r="A90" s="3">
        <v>89</v>
      </c>
      <c r="B90" s="6" t="s">
        <v>165</v>
      </c>
      <c r="C90" s="6" t="s">
        <v>166</v>
      </c>
      <c r="D90" s="20">
        <v>201.59703442450001</v>
      </c>
      <c r="E90" s="20">
        <v>47.619178557100007</v>
      </c>
      <c r="F90" s="20">
        <v>13.6213291624</v>
      </c>
      <c r="G90" s="20">
        <v>3.4167133783999999</v>
      </c>
      <c r="H90" s="20">
        <v>1.9189134243999999</v>
      </c>
      <c r="I90" s="20">
        <v>0.8</v>
      </c>
      <c r="J90" s="35">
        <v>6.3</v>
      </c>
    </row>
    <row r="91" spans="1:10" x14ac:dyDescent="0.25">
      <c r="A91" s="3">
        <v>90</v>
      </c>
      <c r="B91" s="4" t="s">
        <v>167</v>
      </c>
      <c r="C91" s="4" t="s">
        <v>168</v>
      </c>
      <c r="D91" s="20">
        <v>229.5063527861</v>
      </c>
      <c r="E91" s="20">
        <v>51.946854222599995</v>
      </c>
      <c r="F91" s="20">
        <v>18.068527523499998</v>
      </c>
      <c r="G91" s="20">
        <v>3.7983216596000005</v>
      </c>
      <c r="H91" s="20">
        <v>2.0561166887</v>
      </c>
      <c r="I91" s="20">
        <v>0.97</v>
      </c>
      <c r="J91" s="35">
        <v>9.4</v>
      </c>
    </row>
    <row r="92" spans="1:10" x14ac:dyDescent="0.25">
      <c r="A92" s="3">
        <v>91</v>
      </c>
      <c r="B92" s="4" t="s">
        <v>169</v>
      </c>
      <c r="C92" s="4" t="s">
        <v>170</v>
      </c>
      <c r="D92" s="20">
        <v>249.54150921839999</v>
      </c>
      <c r="E92" s="20">
        <v>52.7149229045</v>
      </c>
      <c r="F92" s="20">
        <v>18.2663819285</v>
      </c>
      <c r="G92" s="20">
        <v>3.7797139015000001</v>
      </c>
      <c r="H92" s="20">
        <v>2.0363686005000003</v>
      </c>
      <c r="I92" s="20">
        <v>1.06</v>
      </c>
      <c r="J92" s="35">
        <v>11.4</v>
      </c>
    </row>
    <row r="93" spans="1:10" x14ac:dyDescent="0.25">
      <c r="A93" s="3">
        <v>92</v>
      </c>
      <c r="B93" s="4" t="s">
        <v>171</v>
      </c>
      <c r="C93" s="4" t="s">
        <v>172</v>
      </c>
      <c r="D93" s="20">
        <v>269.56482174200005</v>
      </c>
      <c r="E93" s="20">
        <v>53.693447380900004</v>
      </c>
      <c r="F93" s="20">
        <v>18.109057211799996</v>
      </c>
      <c r="G93" s="20">
        <v>3.8150466971000001</v>
      </c>
      <c r="H93" s="20">
        <v>2.0522763668000001</v>
      </c>
      <c r="I93" s="20">
        <v>1.1599999999999999</v>
      </c>
      <c r="J93" s="35">
        <v>14.3</v>
      </c>
    </row>
    <row r="94" spans="1:10" x14ac:dyDescent="0.25">
      <c r="A94" s="3">
        <v>93</v>
      </c>
      <c r="B94" s="13" t="s">
        <v>173</v>
      </c>
      <c r="C94" s="13" t="s">
        <v>174</v>
      </c>
      <c r="D94" s="20">
        <v>289.94243631819995</v>
      </c>
      <c r="E94" s="20">
        <v>54.577971938799998</v>
      </c>
      <c r="F94" s="20">
        <v>17.697672787599998</v>
      </c>
      <c r="G94" s="20">
        <v>3.7501538513999995</v>
      </c>
      <c r="H94" s="20">
        <v>2.1061477084</v>
      </c>
      <c r="I94" s="20">
        <v>1.21</v>
      </c>
      <c r="J94" s="35">
        <v>16.3</v>
      </c>
    </row>
    <row r="95" spans="1:10" x14ac:dyDescent="0.25">
      <c r="A95" s="3">
        <v>94</v>
      </c>
      <c r="B95" s="4" t="s">
        <v>175</v>
      </c>
      <c r="C95" s="4" t="s">
        <v>176</v>
      </c>
      <c r="D95" s="20">
        <v>104.4011663154</v>
      </c>
      <c r="E95" s="20">
        <v>53.099646522200004</v>
      </c>
      <c r="F95" s="20">
        <v>10.619257873699999</v>
      </c>
      <c r="G95" s="20">
        <v>3.3767202748000003</v>
      </c>
      <c r="H95" s="20">
        <v>2.1901265749999999</v>
      </c>
      <c r="I95" s="20">
        <v>0.08</v>
      </c>
      <c r="J95" s="35">
        <v>1.2</v>
      </c>
    </row>
    <row r="96" spans="1:10" x14ac:dyDescent="0.25">
      <c r="A96" s="3">
        <v>95</v>
      </c>
      <c r="B96" s="6" t="s">
        <v>177</v>
      </c>
      <c r="C96" s="6" t="s">
        <v>178</v>
      </c>
      <c r="D96" s="20">
        <v>120.98284092460001</v>
      </c>
      <c r="E96" s="20">
        <v>61.854268229600009</v>
      </c>
      <c r="F96" s="20">
        <v>32.5833266466</v>
      </c>
      <c r="G96" s="20">
        <v>5.5382690311000005</v>
      </c>
      <c r="H96" s="20">
        <v>1.7700922703000002</v>
      </c>
      <c r="I96" s="20">
        <v>0.18</v>
      </c>
      <c r="J96" s="35">
        <v>1.5</v>
      </c>
    </row>
    <row r="97" spans="1:10" x14ac:dyDescent="0.25">
      <c r="A97" s="3">
        <v>96</v>
      </c>
      <c r="B97" s="6" t="s">
        <v>179</v>
      </c>
      <c r="C97" s="4" t="s">
        <v>180</v>
      </c>
      <c r="D97" s="20">
        <v>151.5120562502</v>
      </c>
      <c r="E97" s="20">
        <v>59.647446373199998</v>
      </c>
      <c r="F97" s="20">
        <v>7.3090941568999996</v>
      </c>
      <c r="G97" s="20">
        <v>3.14452482</v>
      </c>
      <c r="H97" s="20">
        <v>2.0627783397999999</v>
      </c>
      <c r="I97" s="20">
        <v>0.72</v>
      </c>
      <c r="J97" s="35">
        <v>5.3</v>
      </c>
    </row>
    <row r="98" spans="1:10" x14ac:dyDescent="0.25">
      <c r="A98" s="3">
        <v>97</v>
      </c>
      <c r="B98" s="6" t="s">
        <v>181</v>
      </c>
      <c r="C98" s="6" t="s">
        <v>182</v>
      </c>
      <c r="D98" s="20">
        <v>151.20339999999999</v>
      </c>
      <c r="E98" s="20">
        <v>55.838500000000003</v>
      </c>
      <c r="F98" s="20">
        <v>-19.441199999999998</v>
      </c>
      <c r="G98" s="20">
        <v>1.1366000000000001</v>
      </c>
      <c r="H98" s="20">
        <v>3.0642</v>
      </c>
      <c r="I98" s="20">
        <v>1.1000000000000001</v>
      </c>
      <c r="J98" s="35">
        <v>12.7</v>
      </c>
    </row>
    <row r="99" spans="1:10" x14ac:dyDescent="0.25">
      <c r="A99" s="3">
        <v>98</v>
      </c>
      <c r="B99" s="6" t="s">
        <v>183</v>
      </c>
      <c r="C99" s="6" t="s">
        <v>184</v>
      </c>
      <c r="D99" s="20">
        <v>99.032010264199997</v>
      </c>
      <c r="E99" s="20">
        <v>79.613321194099996</v>
      </c>
      <c r="F99" s="20">
        <v>20.8524341589</v>
      </c>
      <c r="G99" s="20">
        <v>6.1759694944999994</v>
      </c>
      <c r="H99" s="20">
        <v>3.7964371084999997</v>
      </c>
      <c r="I99" s="20">
        <v>1.24</v>
      </c>
      <c r="J99" s="35">
        <v>17.3</v>
      </c>
    </row>
    <row r="100" spans="1:10" x14ac:dyDescent="0.25">
      <c r="A100" s="3">
        <v>99</v>
      </c>
      <c r="B100" s="6" t="s">
        <v>185</v>
      </c>
      <c r="C100" s="6" t="s">
        <v>186</v>
      </c>
      <c r="D100" s="20">
        <v>145.12998769290002</v>
      </c>
      <c r="E100" s="20">
        <v>87.984323354500006</v>
      </c>
      <c r="F100" s="20">
        <v>41.441503610799991</v>
      </c>
      <c r="G100" s="20">
        <v>7.552694229800001</v>
      </c>
      <c r="H100" s="20">
        <v>2.6150442314999998</v>
      </c>
      <c r="I100" s="20">
        <v>1.47</v>
      </c>
      <c r="J100" s="35">
        <v>29.2</v>
      </c>
    </row>
    <row r="101" spans="1:10" x14ac:dyDescent="0.25">
      <c r="A101" s="3">
        <v>100</v>
      </c>
      <c r="B101" s="6" t="s">
        <v>187</v>
      </c>
      <c r="C101" s="6" t="s">
        <v>188</v>
      </c>
      <c r="D101" s="20">
        <v>141.8493187503</v>
      </c>
      <c r="E101" s="20">
        <v>63.766479481099992</v>
      </c>
      <c r="F101" s="20">
        <v>34.955864680600001</v>
      </c>
      <c r="G101" s="20">
        <v>5.8664398762000003</v>
      </c>
      <c r="H101" s="20">
        <v>1.6865066428000004</v>
      </c>
      <c r="I101" s="22">
        <v>0.26</v>
      </c>
      <c r="J101" s="35">
        <v>1.8</v>
      </c>
    </row>
    <row r="102" spans="1:10" x14ac:dyDescent="0.25">
      <c r="A102" s="3">
        <v>101</v>
      </c>
      <c r="B102" s="6" t="s">
        <v>189</v>
      </c>
      <c r="C102" s="6" t="s">
        <v>190</v>
      </c>
      <c r="D102" s="20">
        <v>139.32188603110001</v>
      </c>
      <c r="E102" s="20">
        <v>60.4625195088</v>
      </c>
      <c r="F102" s="20">
        <v>34.7230332436</v>
      </c>
      <c r="G102" s="20">
        <v>5.5017590435000008</v>
      </c>
      <c r="H102" s="20">
        <v>1.5746236748999995</v>
      </c>
      <c r="I102" s="20">
        <v>0.23</v>
      </c>
      <c r="J102" s="35">
        <v>1.68</v>
      </c>
    </row>
    <row r="103" spans="1:10" x14ac:dyDescent="0.25">
      <c r="A103" s="3">
        <v>102</v>
      </c>
      <c r="B103" s="3" t="s">
        <v>191</v>
      </c>
      <c r="C103" s="13" t="s">
        <v>192</v>
      </c>
      <c r="D103" s="20">
        <v>161.37548261209997</v>
      </c>
      <c r="E103" s="20">
        <v>59.123150325899999</v>
      </c>
      <c r="F103" s="20">
        <v>34.149944127300003</v>
      </c>
      <c r="G103" s="20">
        <v>5.3518408860000006</v>
      </c>
      <c r="H103" s="20">
        <v>1.3395141343999999</v>
      </c>
      <c r="I103" s="22">
        <v>0.38</v>
      </c>
      <c r="J103" s="35">
        <v>2.4</v>
      </c>
    </row>
    <row r="104" spans="1:10" x14ac:dyDescent="0.25">
      <c r="A104" s="3">
        <v>103</v>
      </c>
      <c r="B104" s="6" t="s">
        <v>193</v>
      </c>
      <c r="C104" s="6" t="s">
        <v>194</v>
      </c>
      <c r="D104" s="20">
        <v>181.21493237889996</v>
      </c>
      <c r="E104" s="20">
        <v>59.291547961300004</v>
      </c>
      <c r="F104" s="20">
        <v>35.298597175400005</v>
      </c>
      <c r="G104" s="20">
        <v>5.1688679014999996</v>
      </c>
      <c r="H104" s="20">
        <v>1.1914151764000001</v>
      </c>
      <c r="I104" s="20">
        <v>0.46</v>
      </c>
      <c r="J104" s="35">
        <v>2.9</v>
      </c>
    </row>
    <row r="105" spans="1:10" x14ac:dyDescent="0.25">
      <c r="A105" s="3">
        <v>104</v>
      </c>
      <c r="B105" s="3" t="s">
        <v>195</v>
      </c>
      <c r="C105" s="13" t="s">
        <v>196</v>
      </c>
      <c r="D105" s="20">
        <v>191.8124600244</v>
      </c>
      <c r="E105" s="20">
        <v>76.921377963899999</v>
      </c>
      <c r="F105" s="20">
        <v>57.691493002500017</v>
      </c>
      <c r="G105" s="20">
        <v>7.711114575599999</v>
      </c>
      <c r="H105" s="20">
        <v>0.86602573290000007</v>
      </c>
      <c r="I105" s="20">
        <v>0.59</v>
      </c>
      <c r="J105" s="35">
        <v>3.9</v>
      </c>
    </row>
    <row r="106" spans="1:10" x14ac:dyDescent="0.25">
      <c r="A106" s="3">
        <v>105</v>
      </c>
      <c r="B106" s="3" t="s">
        <v>197</v>
      </c>
      <c r="C106" s="13" t="s">
        <v>198</v>
      </c>
      <c r="D106" s="20">
        <v>223.74140335340002</v>
      </c>
      <c r="E106" s="20">
        <v>98.525549283599986</v>
      </c>
      <c r="F106" s="20">
        <v>76.939197946899981</v>
      </c>
      <c r="G106" s="20">
        <v>10.459186533800001</v>
      </c>
      <c r="H106" s="20">
        <v>0.86942673830000006</v>
      </c>
      <c r="I106" s="20">
        <v>0.83</v>
      </c>
      <c r="J106" s="35">
        <v>6.7</v>
      </c>
    </row>
    <row r="107" spans="1:10" x14ac:dyDescent="0.25">
      <c r="A107" s="3">
        <v>106</v>
      </c>
      <c r="B107" s="3" t="s">
        <v>199</v>
      </c>
      <c r="C107" s="3" t="s">
        <v>200</v>
      </c>
      <c r="D107" s="20">
        <v>221.08433036580001</v>
      </c>
      <c r="E107" s="20">
        <v>58.774197091500007</v>
      </c>
      <c r="F107" s="20">
        <v>34.48303036139999</v>
      </c>
      <c r="G107" s="20">
        <v>5.0639682425999997</v>
      </c>
      <c r="H107" s="20">
        <v>1.0716958791</v>
      </c>
      <c r="I107" s="20">
        <v>0.65</v>
      </c>
      <c r="J107" s="35">
        <v>4.5</v>
      </c>
    </row>
    <row r="108" spans="1:10" x14ac:dyDescent="0.25">
      <c r="A108" s="3">
        <v>107</v>
      </c>
      <c r="B108" s="6" t="s">
        <v>201</v>
      </c>
      <c r="C108" s="6" t="s">
        <v>202</v>
      </c>
      <c r="D108" s="20">
        <v>233.07907929029997</v>
      </c>
      <c r="E108" s="20">
        <v>80.680713261499989</v>
      </c>
      <c r="F108" s="20">
        <v>57.673905485200009</v>
      </c>
      <c r="G108" s="20">
        <v>7.6559505997000006</v>
      </c>
      <c r="H108" s="20">
        <v>1.0423834277000001</v>
      </c>
      <c r="I108" s="22">
        <v>0.71</v>
      </c>
      <c r="J108" s="35">
        <v>5.0999999999999996</v>
      </c>
    </row>
    <row r="109" spans="1:10" x14ac:dyDescent="0.25">
      <c r="A109" s="3">
        <v>108</v>
      </c>
      <c r="B109" s="6" t="s">
        <v>203</v>
      </c>
      <c r="C109" s="3" t="s">
        <v>204</v>
      </c>
      <c r="D109" s="20">
        <v>198.89879422340002</v>
      </c>
      <c r="E109" s="20">
        <v>103.91676421500001</v>
      </c>
      <c r="F109" s="20">
        <v>67.402121323600014</v>
      </c>
      <c r="G109" s="20">
        <v>10.078077459399998</v>
      </c>
      <c r="H109" s="20">
        <v>1.9097115517000001</v>
      </c>
      <c r="I109" s="20">
        <v>1.58</v>
      </c>
      <c r="J109" s="35">
        <v>38</v>
      </c>
    </row>
    <row r="110" spans="1:10" x14ac:dyDescent="0.25">
      <c r="A110" s="3">
        <v>109</v>
      </c>
      <c r="B110" s="3" t="s">
        <v>205</v>
      </c>
      <c r="C110" s="3" t="s">
        <v>206</v>
      </c>
      <c r="D110" s="20">
        <v>274.80332413079998</v>
      </c>
      <c r="E110" s="20">
        <v>82.560998903299989</v>
      </c>
      <c r="F110" s="20">
        <v>56.011097056999994</v>
      </c>
      <c r="G110" s="20">
        <v>7.8990492041999998</v>
      </c>
      <c r="H110" s="20">
        <v>1.1008784045</v>
      </c>
      <c r="I110" s="20">
        <v>0.8</v>
      </c>
      <c r="J110" s="35">
        <v>6.3</v>
      </c>
    </row>
    <row r="111" spans="1:10" x14ac:dyDescent="0.25">
      <c r="A111" s="3">
        <v>110</v>
      </c>
      <c r="B111" s="3" t="s">
        <v>207</v>
      </c>
      <c r="C111" s="3" t="s">
        <v>208</v>
      </c>
      <c r="D111" s="20">
        <v>287.9810800601</v>
      </c>
      <c r="E111" s="20">
        <v>106.0960526424</v>
      </c>
      <c r="F111" s="20">
        <v>79.278112802199985</v>
      </c>
      <c r="G111" s="20">
        <v>10.834816234700002</v>
      </c>
      <c r="H111" s="20">
        <v>1.2629813656</v>
      </c>
      <c r="I111" s="20">
        <v>0.95</v>
      </c>
      <c r="J111" s="35">
        <v>9</v>
      </c>
    </row>
    <row r="112" spans="1:10" x14ac:dyDescent="0.25">
      <c r="A112" s="3">
        <v>111</v>
      </c>
      <c r="B112" s="6" t="s">
        <v>209</v>
      </c>
      <c r="C112" s="6" t="s">
        <v>210</v>
      </c>
      <c r="D112" s="20">
        <v>132.2009843932</v>
      </c>
      <c r="E112" s="20">
        <v>29.031725362099998</v>
      </c>
      <c r="F112" s="20">
        <v>26.208515470400002</v>
      </c>
      <c r="G112" s="20">
        <v>3.3769421287000001</v>
      </c>
      <c r="H112" s="20">
        <v>0</v>
      </c>
      <c r="I112" s="20">
        <v>-0.64</v>
      </c>
      <c r="J112" s="35">
        <v>0.23</v>
      </c>
    </row>
    <row r="113" spans="1:10" x14ac:dyDescent="0.25">
      <c r="A113" s="3">
        <v>112</v>
      </c>
      <c r="B113" s="10" t="s">
        <v>211</v>
      </c>
      <c r="C113" s="9" t="s">
        <v>212</v>
      </c>
      <c r="D113" s="20">
        <v>151.06950992559999</v>
      </c>
      <c r="E113" s="20">
        <v>28.320339587500001</v>
      </c>
      <c r="F113" s="20">
        <v>23.343065362699999</v>
      </c>
      <c r="G113" s="20">
        <v>2.8723761231999996</v>
      </c>
      <c r="H113" s="20">
        <v>0</v>
      </c>
      <c r="I113" s="20">
        <v>-0.49</v>
      </c>
      <c r="J113" s="35">
        <v>0.32</v>
      </c>
    </row>
    <row r="114" spans="1:10" x14ac:dyDescent="0.25">
      <c r="A114" s="3">
        <v>113</v>
      </c>
      <c r="B114" s="6" t="s">
        <v>213</v>
      </c>
      <c r="C114" s="4" t="s">
        <v>214</v>
      </c>
      <c r="D114" s="20">
        <v>142.02070000000001</v>
      </c>
      <c r="E114" s="20">
        <v>31.107099999999999</v>
      </c>
      <c r="F114" s="20">
        <v>26.472000000000001</v>
      </c>
      <c r="G114" s="20">
        <v>3.4287999999999998</v>
      </c>
      <c r="H114" s="20">
        <v>0</v>
      </c>
      <c r="I114" s="20">
        <v>-0.47</v>
      </c>
      <c r="J114" s="35">
        <v>0.34</v>
      </c>
    </row>
    <row r="115" spans="1:10" x14ac:dyDescent="0.25">
      <c r="A115" s="3">
        <v>114</v>
      </c>
      <c r="B115" s="10" t="s">
        <v>215</v>
      </c>
      <c r="C115" s="9" t="s">
        <v>216</v>
      </c>
      <c r="D115" s="20">
        <v>152.062989595</v>
      </c>
      <c r="E115" s="20">
        <v>28.1029218788</v>
      </c>
      <c r="F115" s="20">
        <v>23.854929319</v>
      </c>
      <c r="G115" s="20">
        <v>2.9754894520000001</v>
      </c>
      <c r="H115" s="20">
        <v>0</v>
      </c>
      <c r="I115" s="20">
        <v>-0.52</v>
      </c>
      <c r="J115" s="35">
        <v>0.3</v>
      </c>
    </row>
    <row r="116" spans="1:10" x14ac:dyDescent="0.25">
      <c r="A116" s="3">
        <v>115</v>
      </c>
      <c r="B116" s="6" t="s">
        <v>217</v>
      </c>
      <c r="C116" s="4" t="s">
        <v>218</v>
      </c>
      <c r="D116" s="20">
        <v>171.4830690755</v>
      </c>
      <c r="E116" s="20">
        <v>26.967163116200002</v>
      </c>
      <c r="F116" s="20">
        <v>21.492266247</v>
      </c>
      <c r="G116" s="20">
        <v>2.5996627733</v>
      </c>
      <c r="H116" s="20">
        <v>0</v>
      </c>
      <c r="I116" s="20">
        <v>-0.4</v>
      </c>
      <c r="J116" s="35">
        <v>0.4</v>
      </c>
    </row>
    <row r="117" spans="1:10" x14ac:dyDescent="0.25">
      <c r="A117" s="3">
        <v>116</v>
      </c>
      <c r="B117" s="6" t="s">
        <v>219</v>
      </c>
      <c r="C117" s="4" t="s">
        <v>220</v>
      </c>
      <c r="D117" s="20">
        <v>165.6962812612</v>
      </c>
      <c r="E117" s="20">
        <v>31.897661187200001</v>
      </c>
      <c r="F117" s="20">
        <v>26.758315497199995</v>
      </c>
      <c r="G117" s="20">
        <v>3.7725672697999992</v>
      </c>
      <c r="H117" s="20">
        <v>0</v>
      </c>
      <c r="I117" s="20">
        <v>-0.46</v>
      </c>
      <c r="J117" s="35">
        <v>0.35</v>
      </c>
    </row>
    <row r="118" spans="1:10" x14ac:dyDescent="0.25">
      <c r="A118" s="3">
        <v>117</v>
      </c>
      <c r="B118" s="10" t="s">
        <v>221</v>
      </c>
      <c r="C118" s="9" t="s">
        <v>222</v>
      </c>
      <c r="D118" s="20">
        <v>171.01536882710002</v>
      </c>
      <c r="E118" s="20">
        <v>29.253740672900001</v>
      </c>
      <c r="F118" s="20">
        <v>23.563969177099999</v>
      </c>
      <c r="G118" s="20">
        <v>2.9387716348000006</v>
      </c>
      <c r="H118" s="20">
        <v>0</v>
      </c>
      <c r="I118" s="20">
        <v>-0.38</v>
      </c>
      <c r="J118" s="35">
        <v>0.42</v>
      </c>
    </row>
    <row r="119" spans="1:10" x14ac:dyDescent="0.25">
      <c r="A119" s="3">
        <v>118</v>
      </c>
      <c r="B119" s="10" t="s">
        <v>223</v>
      </c>
      <c r="C119" s="9" t="s">
        <v>224</v>
      </c>
      <c r="D119" s="20">
        <v>172.09342074700001</v>
      </c>
      <c r="E119" s="20">
        <v>28.958576847100002</v>
      </c>
      <c r="F119" s="20">
        <v>24.006054463399998</v>
      </c>
      <c r="G119" s="20">
        <v>3.0765289725000002</v>
      </c>
      <c r="H119" s="20">
        <v>0</v>
      </c>
      <c r="I119" s="20">
        <v>-0.39</v>
      </c>
      <c r="J119" s="35">
        <v>0.41</v>
      </c>
    </row>
    <row r="120" spans="1:10" x14ac:dyDescent="0.25">
      <c r="A120" s="3">
        <v>119</v>
      </c>
      <c r="B120" s="6" t="s">
        <v>225</v>
      </c>
      <c r="C120" s="4" t="s">
        <v>226</v>
      </c>
      <c r="D120" s="20">
        <v>211.6141151818</v>
      </c>
      <c r="E120" s="20">
        <v>28.831149131100002</v>
      </c>
      <c r="F120" s="20">
        <v>21.723520744399998</v>
      </c>
      <c r="G120" s="20">
        <v>2.5899745247000001</v>
      </c>
      <c r="H120" s="20">
        <v>0</v>
      </c>
      <c r="I120" s="20">
        <v>-0.19</v>
      </c>
      <c r="J120" s="35">
        <v>0.64</v>
      </c>
    </row>
    <row r="121" spans="1:10" x14ac:dyDescent="0.25">
      <c r="A121" s="3">
        <v>120</v>
      </c>
      <c r="B121" s="10" t="s">
        <v>227</v>
      </c>
      <c r="C121" s="9" t="s">
        <v>228</v>
      </c>
      <c r="D121" s="20">
        <v>251.9069440195</v>
      </c>
      <c r="E121" s="20">
        <v>30.903366925</v>
      </c>
      <c r="F121" s="20">
        <v>22.294654043799998</v>
      </c>
      <c r="G121" s="20">
        <v>2.6942176785999998</v>
      </c>
      <c r="H121" s="20">
        <v>0</v>
      </c>
      <c r="I121" s="22">
        <v>-0.01</v>
      </c>
      <c r="J121" s="35">
        <v>0.98</v>
      </c>
    </row>
    <row r="122" spans="1:10" x14ac:dyDescent="0.25">
      <c r="A122" s="3">
        <v>121</v>
      </c>
      <c r="B122" s="6" t="s">
        <v>229</v>
      </c>
      <c r="C122" s="4" t="s">
        <v>230</v>
      </c>
      <c r="D122" s="20">
        <v>254.58777522149998</v>
      </c>
      <c r="E122" s="20">
        <v>58.084434518500004</v>
      </c>
      <c r="F122" s="20">
        <v>11.828332555900001</v>
      </c>
      <c r="G122" s="20">
        <v>1.9436845419</v>
      </c>
      <c r="H122" s="20">
        <v>0</v>
      </c>
      <c r="I122" s="20">
        <v>0.67</v>
      </c>
      <c r="J122" s="35">
        <v>4.7</v>
      </c>
    </row>
    <row r="123" spans="1:10" x14ac:dyDescent="0.25">
      <c r="A123" s="3">
        <v>122</v>
      </c>
      <c r="B123" s="4" t="s">
        <v>231</v>
      </c>
      <c r="C123" s="4" t="s">
        <v>232</v>
      </c>
      <c r="D123" s="20">
        <v>100.92100000000001</v>
      </c>
      <c r="E123" s="20">
        <v>34.392000000000003</v>
      </c>
      <c r="F123" s="20">
        <v>23.4788</v>
      </c>
      <c r="G123" s="20">
        <v>2.6593</v>
      </c>
      <c r="H123" s="20">
        <v>0</v>
      </c>
      <c r="I123" s="20">
        <v>-0.52</v>
      </c>
      <c r="J123" s="35">
        <v>0.3</v>
      </c>
    </row>
    <row r="124" spans="1:10" x14ac:dyDescent="0.25">
      <c r="A124" s="3">
        <v>123</v>
      </c>
      <c r="B124" s="6" t="s">
        <v>233</v>
      </c>
      <c r="C124" s="6" t="s">
        <v>234</v>
      </c>
      <c r="D124" s="20">
        <v>103.3026</v>
      </c>
      <c r="E124" s="20">
        <v>29.3428</v>
      </c>
      <c r="F124" s="20">
        <v>-3.6132</v>
      </c>
      <c r="G124" s="20">
        <v>0.1143</v>
      </c>
      <c r="H124" s="20">
        <v>0.20219999999999999</v>
      </c>
      <c r="I124" s="20">
        <v>-0.44</v>
      </c>
      <c r="J124" s="35">
        <v>0.36</v>
      </c>
    </row>
    <row r="125" spans="1:10" x14ac:dyDescent="0.25">
      <c r="A125" s="3">
        <v>124</v>
      </c>
      <c r="B125" s="6" t="s">
        <v>235</v>
      </c>
      <c r="C125" s="6" t="s">
        <v>236</v>
      </c>
      <c r="D125" s="20">
        <v>113.605</v>
      </c>
      <c r="E125" s="20">
        <v>31.628399999999999</v>
      </c>
      <c r="F125" s="20">
        <v>31.354800000000001</v>
      </c>
      <c r="G125" s="20">
        <v>3.7019000000000002</v>
      </c>
      <c r="H125" s="20">
        <v>0</v>
      </c>
      <c r="I125" s="20">
        <v>-0.33</v>
      </c>
      <c r="J125" s="35">
        <v>0.47</v>
      </c>
    </row>
    <row r="126" spans="1:10" x14ac:dyDescent="0.25">
      <c r="A126" s="3">
        <v>125</v>
      </c>
      <c r="B126" s="6" t="s">
        <v>237</v>
      </c>
      <c r="C126" s="4" t="s">
        <v>238</v>
      </c>
      <c r="D126" s="20">
        <v>143.39034349780002</v>
      </c>
      <c r="E126" s="20">
        <v>50.1788755233</v>
      </c>
      <c r="F126" s="20">
        <v>45.143076791299997</v>
      </c>
      <c r="G126" s="20">
        <v>5.7622674556</v>
      </c>
      <c r="H126" s="20">
        <v>0</v>
      </c>
      <c r="I126" s="20">
        <v>-0.37</v>
      </c>
      <c r="J126" s="35">
        <v>0.43</v>
      </c>
    </row>
    <row r="127" spans="1:10" x14ac:dyDescent="0.25">
      <c r="A127" s="3">
        <v>126</v>
      </c>
      <c r="B127" s="6" t="s">
        <v>239</v>
      </c>
      <c r="C127" s="6" t="s">
        <v>240</v>
      </c>
      <c r="D127" s="20">
        <v>121.2966</v>
      </c>
      <c r="E127" s="20">
        <v>50.844299999999997</v>
      </c>
      <c r="F127" s="20">
        <v>40.052900000000001</v>
      </c>
      <c r="G127" s="20">
        <v>4.9512999999999998</v>
      </c>
      <c r="H127" s="20">
        <v>0</v>
      </c>
      <c r="I127" s="20">
        <v>0.08</v>
      </c>
      <c r="J127" s="35">
        <v>1.2</v>
      </c>
    </row>
    <row r="128" spans="1:10" x14ac:dyDescent="0.25">
      <c r="A128" s="3">
        <v>127</v>
      </c>
      <c r="B128" s="6" t="s">
        <v>241</v>
      </c>
      <c r="C128" s="4" t="s">
        <v>242</v>
      </c>
      <c r="D128" s="20">
        <v>196.20690353610004</v>
      </c>
      <c r="E128" s="20">
        <v>72.310500022599982</v>
      </c>
      <c r="F128" s="20">
        <v>65.58678659329999</v>
      </c>
      <c r="G128" s="20">
        <v>8.5187321966999967</v>
      </c>
      <c r="H128" s="20">
        <v>0</v>
      </c>
      <c r="I128" s="20">
        <v>-0.01</v>
      </c>
      <c r="J128" s="35">
        <v>0.98</v>
      </c>
    </row>
    <row r="129" spans="1:10" x14ac:dyDescent="0.25">
      <c r="A129" s="3">
        <v>128</v>
      </c>
      <c r="B129" s="14" t="s">
        <v>243</v>
      </c>
      <c r="C129" s="14" t="s">
        <v>244</v>
      </c>
      <c r="D129" s="20">
        <v>303.75311339699999</v>
      </c>
      <c r="E129" s="20">
        <v>110.59775529379999</v>
      </c>
      <c r="F129" s="20">
        <v>95.359774862200013</v>
      </c>
      <c r="G129" s="20">
        <v>11.396322615599997</v>
      </c>
      <c r="H129" s="20">
        <v>0</v>
      </c>
      <c r="I129" s="22">
        <v>0.52</v>
      </c>
      <c r="J129" s="35">
        <v>3.3</v>
      </c>
    </row>
    <row r="130" spans="1:10" x14ac:dyDescent="0.25">
      <c r="A130" s="3">
        <v>129</v>
      </c>
      <c r="B130" s="6" t="s">
        <v>245</v>
      </c>
      <c r="C130" s="6" t="s">
        <v>246</v>
      </c>
      <c r="D130" s="20">
        <v>120.67879688999999</v>
      </c>
      <c r="E130" s="20">
        <v>41.421716849399999</v>
      </c>
      <c r="F130" s="20">
        <v>30.6818694844</v>
      </c>
      <c r="G130" s="20">
        <v>4.0473633582000001</v>
      </c>
      <c r="H130" s="20">
        <v>0</v>
      </c>
      <c r="I130" s="20">
        <v>-0.47</v>
      </c>
      <c r="J130" s="35">
        <v>0.34</v>
      </c>
    </row>
    <row r="131" spans="1:10" x14ac:dyDescent="0.25">
      <c r="A131" s="3">
        <v>130</v>
      </c>
      <c r="B131" s="10" t="s">
        <v>247</v>
      </c>
      <c r="C131" s="9" t="s">
        <v>248</v>
      </c>
      <c r="D131" s="20">
        <v>162.44717897359996</v>
      </c>
      <c r="E131" s="20">
        <v>43.141430024300007</v>
      </c>
      <c r="F131" s="20">
        <v>33.771056624500005</v>
      </c>
      <c r="G131" s="20">
        <v>4.7719362181000005</v>
      </c>
      <c r="H131" s="20">
        <v>0</v>
      </c>
      <c r="I131" s="20">
        <v>-0.35</v>
      </c>
      <c r="J131" s="35">
        <v>0.45</v>
      </c>
    </row>
    <row r="132" spans="1:10" x14ac:dyDescent="0.25">
      <c r="A132" s="3">
        <v>131</v>
      </c>
      <c r="B132" s="10" t="s">
        <v>249</v>
      </c>
      <c r="C132" s="9" t="s">
        <v>250</v>
      </c>
      <c r="D132" s="20">
        <v>179.88753279510001</v>
      </c>
      <c r="E132" s="20">
        <v>44.877501154499996</v>
      </c>
      <c r="F132" s="20">
        <v>36.986487041499998</v>
      </c>
      <c r="G132" s="20">
        <v>5.2052494615999993</v>
      </c>
      <c r="H132" s="20">
        <v>0</v>
      </c>
      <c r="I132" s="20">
        <v>-0.36</v>
      </c>
      <c r="J132" s="35">
        <v>0.44</v>
      </c>
    </row>
    <row r="133" spans="1:10" x14ac:dyDescent="0.25">
      <c r="A133" s="3">
        <v>132</v>
      </c>
      <c r="B133" s="10" t="s">
        <v>251</v>
      </c>
      <c r="C133" s="9" t="s">
        <v>252</v>
      </c>
      <c r="D133" s="20">
        <v>265.11977840490005</v>
      </c>
      <c r="E133" s="20">
        <v>47.875288166800011</v>
      </c>
      <c r="F133" s="20">
        <v>37.742217026100001</v>
      </c>
      <c r="G133" s="20">
        <v>4.9200533267000006</v>
      </c>
      <c r="H133" s="20">
        <v>0</v>
      </c>
      <c r="I133" s="20">
        <v>0.08</v>
      </c>
      <c r="J133" s="35">
        <v>1.2</v>
      </c>
    </row>
    <row r="134" spans="1:10" x14ac:dyDescent="0.25">
      <c r="A134" s="3">
        <v>133</v>
      </c>
      <c r="B134" s="10" t="s">
        <v>253</v>
      </c>
      <c r="C134" s="9" t="s">
        <v>254</v>
      </c>
      <c r="D134" s="20">
        <v>173.11710915579999</v>
      </c>
      <c r="E134" s="20">
        <v>61.745530987900004</v>
      </c>
      <c r="F134" s="20">
        <v>40.400003448</v>
      </c>
      <c r="G134" s="20">
        <v>5.3939188097000006</v>
      </c>
      <c r="H134" s="20">
        <v>7.0080000000000003E-7</v>
      </c>
      <c r="I134" s="20">
        <v>0.04</v>
      </c>
      <c r="J134" s="35">
        <v>1.1000000000000001</v>
      </c>
    </row>
    <row r="135" spans="1:10" x14ac:dyDescent="0.25">
      <c r="A135" s="3">
        <v>134</v>
      </c>
      <c r="B135" s="10" t="s">
        <v>255</v>
      </c>
      <c r="C135" s="9" t="s">
        <v>256</v>
      </c>
      <c r="D135" s="20">
        <v>213.7337009105</v>
      </c>
      <c r="E135" s="20">
        <v>58.711392830000008</v>
      </c>
      <c r="F135" s="20">
        <v>45.372120662900002</v>
      </c>
      <c r="G135" s="20">
        <v>6.4399235442</v>
      </c>
      <c r="H135" s="20">
        <v>0</v>
      </c>
      <c r="I135" s="20">
        <v>-0.17</v>
      </c>
      <c r="J135" s="35">
        <v>0.68</v>
      </c>
    </row>
    <row r="136" spans="1:10" x14ac:dyDescent="0.25">
      <c r="A136" s="3">
        <v>135</v>
      </c>
      <c r="B136" s="6" t="s">
        <v>257</v>
      </c>
      <c r="C136" s="4" t="s">
        <v>258</v>
      </c>
      <c r="D136" s="20">
        <v>238.44902281010005</v>
      </c>
      <c r="E136" s="20">
        <v>75.109014119500017</v>
      </c>
      <c r="F136" s="20">
        <v>70.573971147600005</v>
      </c>
      <c r="G136" s="20">
        <v>7.9148176921000006</v>
      </c>
      <c r="H136" s="20">
        <v>0</v>
      </c>
      <c r="I136" s="20">
        <v>0.11</v>
      </c>
      <c r="J136" s="35">
        <v>1.3</v>
      </c>
    </row>
    <row r="137" spans="1:10" x14ac:dyDescent="0.25">
      <c r="A137" s="3">
        <v>136</v>
      </c>
      <c r="B137" s="6" t="s">
        <v>259</v>
      </c>
      <c r="C137" s="4" t="s">
        <v>260</v>
      </c>
      <c r="D137" s="20">
        <v>151.79640000000001</v>
      </c>
      <c r="E137" s="20">
        <v>36.992899999999999</v>
      </c>
      <c r="F137" s="20">
        <v>5.4894999999999996</v>
      </c>
      <c r="G137" s="20">
        <v>0.78180000000000005</v>
      </c>
      <c r="H137" s="20">
        <v>1.1000000000000001E-3</v>
      </c>
      <c r="I137" s="20">
        <v>0</v>
      </c>
      <c r="J137" s="35">
        <v>1</v>
      </c>
    </row>
    <row r="138" spans="1:10" x14ac:dyDescent="0.25">
      <c r="A138" s="3">
        <v>137</v>
      </c>
      <c r="B138" s="10" t="s">
        <v>261</v>
      </c>
      <c r="C138" s="9" t="s">
        <v>262</v>
      </c>
      <c r="D138" s="20">
        <v>172.76400000000001</v>
      </c>
      <c r="E138" s="20">
        <v>37.682099999999998</v>
      </c>
      <c r="F138" s="20">
        <v>6.9885999999999999</v>
      </c>
      <c r="G138" s="20">
        <v>0.92400000000000004</v>
      </c>
      <c r="H138" s="20">
        <v>6.9999999999999999E-4</v>
      </c>
      <c r="I138" s="20">
        <v>0.08</v>
      </c>
      <c r="J138" s="35">
        <v>1.2</v>
      </c>
    </row>
    <row r="139" spans="1:10" x14ac:dyDescent="0.25">
      <c r="A139" s="3">
        <v>138</v>
      </c>
      <c r="B139" s="10" t="s">
        <v>263</v>
      </c>
      <c r="C139" s="9" t="s">
        <v>264</v>
      </c>
      <c r="D139" s="20">
        <v>192.67439999999999</v>
      </c>
      <c r="E139" s="20">
        <v>37.752899999999997</v>
      </c>
      <c r="F139" s="20">
        <v>7.4291999999999998</v>
      </c>
      <c r="G139" s="20">
        <v>0.91769999999999996</v>
      </c>
      <c r="H139" s="20">
        <v>4.0000000000000002E-4</v>
      </c>
      <c r="I139" s="22">
        <v>0.15</v>
      </c>
      <c r="J139" s="35">
        <v>1.4</v>
      </c>
    </row>
    <row r="140" spans="1:10" x14ac:dyDescent="0.25">
      <c r="A140" s="3">
        <v>139</v>
      </c>
      <c r="B140" s="4" t="s">
        <v>265</v>
      </c>
      <c r="C140" s="4" t="s">
        <v>266</v>
      </c>
      <c r="D140" s="20">
        <v>123.0673</v>
      </c>
      <c r="E140" s="20">
        <v>41.126800000000003</v>
      </c>
      <c r="F140" s="20">
        <v>27.447600000000001</v>
      </c>
      <c r="G140" s="20">
        <v>2.8456999999999999</v>
      </c>
      <c r="H140" s="20">
        <v>0</v>
      </c>
      <c r="I140" s="20">
        <v>-0.38</v>
      </c>
      <c r="J140" s="35">
        <v>0.42</v>
      </c>
    </row>
    <row r="141" spans="1:10" x14ac:dyDescent="0.25">
      <c r="A141" s="3">
        <v>140</v>
      </c>
      <c r="B141" s="4" t="s">
        <v>267</v>
      </c>
      <c r="C141" s="4" t="s">
        <v>268</v>
      </c>
      <c r="D141" s="20">
        <v>119.10446056199999</v>
      </c>
      <c r="E141" s="20">
        <v>49.978481132999995</v>
      </c>
      <c r="F141" s="20">
        <v>35.438739836500005</v>
      </c>
      <c r="G141" s="20">
        <v>3.7145456755000001</v>
      </c>
      <c r="H141" s="20">
        <v>1.7858969999999998E-3</v>
      </c>
      <c r="I141" s="20">
        <v>-0.28000000000000003</v>
      </c>
      <c r="J141" s="35">
        <v>0.52</v>
      </c>
    </row>
    <row r="142" spans="1:10" x14ac:dyDescent="0.25">
      <c r="A142" s="3">
        <v>141</v>
      </c>
      <c r="B142" s="10" t="s">
        <v>269</v>
      </c>
      <c r="C142" s="9" t="s">
        <v>270</v>
      </c>
      <c r="D142" s="20">
        <v>139.16372479840001</v>
      </c>
      <c r="E142" s="20">
        <v>40.735425121199995</v>
      </c>
      <c r="F142" s="20">
        <v>26.408042272400003</v>
      </c>
      <c r="G142" s="20">
        <v>2.8727706655</v>
      </c>
      <c r="H142" s="20">
        <v>0</v>
      </c>
      <c r="I142" s="20">
        <v>-0.28000000000000003</v>
      </c>
      <c r="J142" s="35">
        <v>0.53</v>
      </c>
    </row>
    <row r="143" spans="1:10" x14ac:dyDescent="0.25">
      <c r="A143" s="3">
        <v>142</v>
      </c>
      <c r="B143" s="10" t="s">
        <v>271</v>
      </c>
      <c r="C143" s="9" t="s">
        <v>272</v>
      </c>
      <c r="D143" s="20">
        <v>128.14389839559999</v>
      </c>
      <c r="E143" s="20">
        <v>60.064387006399997</v>
      </c>
      <c r="F143" s="20">
        <v>23.994589876399999</v>
      </c>
      <c r="G143" s="20">
        <v>3.4732664579999999</v>
      </c>
      <c r="H143" s="20">
        <v>0.64884181199999991</v>
      </c>
      <c r="I143" s="20">
        <v>0.2</v>
      </c>
      <c r="J143" s="35">
        <v>1.6</v>
      </c>
    </row>
    <row r="144" spans="1:10" x14ac:dyDescent="0.25">
      <c r="A144" s="3">
        <v>143</v>
      </c>
      <c r="B144" s="6" t="s">
        <v>273</v>
      </c>
      <c r="C144" s="6" t="s">
        <v>274</v>
      </c>
      <c r="D144" s="20">
        <v>145.55350000000001</v>
      </c>
      <c r="E144" s="20">
        <v>48.330199999999998</v>
      </c>
      <c r="F144" s="20">
        <v>20.564499999999999</v>
      </c>
      <c r="G144" s="20">
        <v>2.5583999999999998</v>
      </c>
      <c r="H144" s="20">
        <v>3.8E-3</v>
      </c>
      <c r="I144" s="20">
        <v>0.15</v>
      </c>
      <c r="J144" s="35">
        <v>1.4</v>
      </c>
    </row>
    <row r="145" spans="1:10" x14ac:dyDescent="0.25">
      <c r="A145" s="3">
        <v>144</v>
      </c>
      <c r="B145" s="10" t="s">
        <v>275</v>
      </c>
      <c r="C145" s="9" t="s">
        <v>276</v>
      </c>
      <c r="D145" s="20">
        <v>150.82569924769999</v>
      </c>
      <c r="E145" s="20">
        <v>48.9104750837</v>
      </c>
      <c r="F145" s="20">
        <v>12.497822036000001</v>
      </c>
      <c r="G145" s="20">
        <v>1.8761862740000002</v>
      </c>
      <c r="H145" s="20">
        <v>2.0817292800000001E-2</v>
      </c>
      <c r="I145" s="22">
        <v>0.4</v>
      </c>
      <c r="J145" s="35">
        <v>2.5</v>
      </c>
    </row>
    <row r="146" spans="1:10" x14ac:dyDescent="0.25">
      <c r="A146" s="3">
        <v>145</v>
      </c>
      <c r="B146" s="6" t="s">
        <v>277</v>
      </c>
      <c r="C146" s="6" t="s">
        <v>278</v>
      </c>
      <c r="D146" s="20">
        <v>103.3402</v>
      </c>
      <c r="E146" s="20">
        <v>47.3949</v>
      </c>
      <c r="F146" s="20">
        <v>35.961100000000002</v>
      </c>
      <c r="G146" s="20">
        <v>3.7178</v>
      </c>
      <c r="H146" s="20">
        <v>0</v>
      </c>
      <c r="I146" s="20">
        <v>-0.51</v>
      </c>
      <c r="J146" s="35">
        <v>0.31</v>
      </c>
    </row>
    <row r="147" spans="1:10" x14ac:dyDescent="0.25">
      <c r="A147" s="3">
        <v>146</v>
      </c>
      <c r="B147" s="6" t="s">
        <v>279</v>
      </c>
      <c r="C147" s="6" t="s">
        <v>280</v>
      </c>
      <c r="D147" s="20">
        <v>122.5258</v>
      </c>
      <c r="E147" s="20">
        <v>45.395800000000001</v>
      </c>
      <c r="F147" s="20">
        <v>34.2883</v>
      </c>
      <c r="G147" s="20">
        <v>3.6093999999999999</v>
      </c>
      <c r="H147" s="20">
        <v>0</v>
      </c>
      <c r="I147" s="20">
        <v>-0.4</v>
      </c>
      <c r="J147" s="35">
        <v>0.4</v>
      </c>
    </row>
    <row r="148" spans="1:10" x14ac:dyDescent="0.25">
      <c r="A148" s="3">
        <v>147</v>
      </c>
      <c r="B148" s="6" t="s">
        <v>587</v>
      </c>
      <c r="C148" s="6" t="s">
        <v>588</v>
      </c>
      <c r="D148" s="21">
        <v>142.40579136100001</v>
      </c>
      <c r="E148" s="21">
        <v>46.237011651800003</v>
      </c>
      <c r="F148" s="21">
        <v>35.008712406800001</v>
      </c>
      <c r="G148" s="21">
        <v>4.4677007072000006</v>
      </c>
      <c r="H148" s="21">
        <v>2.9883000000000002E-5</v>
      </c>
      <c r="I148" s="22">
        <v>-0.33</v>
      </c>
      <c r="J148" s="13">
        <v>0.47</v>
      </c>
    </row>
    <row r="149" spans="1:10" x14ac:dyDescent="0.25">
      <c r="A149" s="3">
        <v>148</v>
      </c>
      <c r="B149" s="6" t="s">
        <v>589</v>
      </c>
      <c r="C149" s="6" t="s">
        <v>590</v>
      </c>
      <c r="D149" s="21">
        <v>162.68790000000001</v>
      </c>
      <c r="E149" s="21">
        <v>47.186799999999998</v>
      </c>
      <c r="F149" s="21">
        <v>35.220700000000001</v>
      </c>
      <c r="G149" s="21">
        <v>4.5838999999999999</v>
      </c>
      <c r="H149" s="21">
        <v>0</v>
      </c>
      <c r="I149" s="22">
        <v>-0.24</v>
      </c>
      <c r="J149" s="13">
        <v>0.57999999999999996</v>
      </c>
    </row>
    <row r="150" spans="1:10" x14ac:dyDescent="0.25">
      <c r="A150" s="3">
        <v>149</v>
      </c>
      <c r="B150" s="6" t="s">
        <v>281</v>
      </c>
      <c r="C150" s="6" t="s">
        <v>282</v>
      </c>
      <c r="D150" s="20">
        <v>157.80837974690002</v>
      </c>
      <c r="E150" s="20">
        <v>45.302523714199999</v>
      </c>
      <c r="F150" s="20">
        <v>32.955296670999999</v>
      </c>
      <c r="G150" s="20">
        <v>3.4635162369999999</v>
      </c>
      <c r="H150" s="20">
        <v>1.0650299999999999E-4</v>
      </c>
      <c r="I150" s="20">
        <v>-0.27</v>
      </c>
      <c r="J150" s="35">
        <v>0.54</v>
      </c>
    </row>
    <row r="151" spans="1:10" x14ac:dyDescent="0.25">
      <c r="A151" s="3">
        <v>150</v>
      </c>
      <c r="B151" s="6" t="s">
        <v>283</v>
      </c>
      <c r="C151" s="6" t="s">
        <v>284</v>
      </c>
      <c r="D151" s="20">
        <v>153.82363864000001</v>
      </c>
      <c r="E151" s="20">
        <v>46.8663184364</v>
      </c>
      <c r="F151" s="20">
        <v>34.053738921599994</v>
      </c>
      <c r="G151" s="20">
        <v>2.8350617288</v>
      </c>
      <c r="H151" s="20">
        <v>3.6339600000000007E-5</v>
      </c>
      <c r="I151" s="20">
        <v>-0.21</v>
      </c>
      <c r="J151" s="35">
        <v>0.61</v>
      </c>
    </row>
    <row r="152" spans="1:10" x14ac:dyDescent="0.25">
      <c r="A152" s="3">
        <v>151</v>
      </c>
      <c r="B152" s="6" t="s">
        <v>285</v>
      </c>
      <c r="C152" s="6" t="s">
        <v>286</v>
      </c>
      <c r="D152" s="20">
        <v>162.90617311770001</v>
      </c>
      <c r="E152" s="20">
        <v>69.00079207749998</v>
      </c>
      <c r="F152" s="20">
        <v>46.411288687199992</v>
      </c>
      <c r="G152" s="20">
        <v>5.7340973795000014</v>
      </c>
      <c r="H152" s="20">
        <v>0.52910377400000008</v>
      </c>
      <c r="I152" s="20">
        <v>0.52</v>
      </c>
      <c r="J152" s="35">
        <v>3.3</v>
      </c>
    </row>
    <row r="153" spans="1:10" x14ac:dyDescent="0.25">
      <c r="A153" s="3">
        <v>152</v>
      </c>
      <c r="B153" s="6" t="s">
        <v>591</v>
      </c>
      <c r="C153" s="6" t="s">
        <v>592</v>
      </c>
      <c r="D153" s="21">
        <v>182.55041971040001</v>
      </c>
      <c r="E153" s="21">
        <v>48.090657688199997</v>
      </c>
      <c r="F153" s="21">
        <v>35.534795719199998</v>
      </c>
      <c r="G153" s="21">
        <v>4.5493589074000003</v>
      </c>
      <c r="H153" s="21">
        <v>1.6291799999999999E-5</v>
      </c>
      <c r="I153" s="22">
        <v>-0.12</v>
      </c>
      <c r="J153" s="35">
        <v>0.76</v>
      </c>
    </row>
    <row r="154" spans="1:10" x14ac:dyDescent="0.25">
      <c r="A154" s="3">
        <v>153</v>
      </c>
      <c r="B154" s="6" t="s">
        <v>287</v>
      </c>
      <c r="C154" s="6" t="s">
        <v>288</v>
      </c>
      <c r="D154" s="20">
        <v>178.04112067360001</v>
      </c>
      <c r="E154" s="20">
        <v>48.484164507200006</v>
      </c>
      <c r="F154" s="20">
        <v>35.615581417599998</v>
      </c>
      <c r="G154" s="20">
        <v>3.6008440687999999</v>
      </c>
      <c r="H154" s="20">
        <v>1.5198400000000002E-5</v>
      </c>
      <c r="I154" s="20">
        <v>-0.12</v>
      </c>
      <c r="J154" s="35">
        <v>0.75</v>
      </c>
    </row>
    <row r="155" spans="1:10" x14ac:dyDescent="0.25">
      <c r="A155" s="3">
        <v>154</v>
      </c>
      <c r="B155" s="6" t="s">
        <v>593</v>
      </c>
      <c r="C155" s="6" t="s">
        <v>594</v>
      </c>
      <c r="D155" s="21">
        <v>202.84739999999999</v>
      </c>
      <c r="E155" s="21">
        <v>48.984400000000001</v>
      </c>
      <c r="F155" s="21">
        <v>35.304200000000002</v>
      </c>
      <c r="G155" s="21">
        <v>4.5259999999999998</v>
      </c>
      <c r="H155" s="21">
        <v>0</v>
      </c>
      <c r="I155" s="22">
        <v>-0.02</v>
      </c>
      <c r="J155" s="35">
        <v>0.95</v>
      </c>
    </row>
    <row r="156" spans="1:10" x14ac:dyDescent="0.25">
      <c r="A156" s="3">
        <v>155</v>
      </c>
      <c r="B156" s="6" t="s">
        <v>595</v>
      </c>
      <c r="C156" s="6" t="s">
        <v>596</v>
      </c>
      <c r="D156" s="21">
        <v>222.64876617040002</v>
      </c>
      <c r="E156" s="21">
        <v>49.741593648800006</v>
      </c>
      <c r="F156" s="21">
        <v>35.219435475999994</v>
      </c>
      <c r="G156" s="21">
        <v>4.5524126599999999</v>
      </c>
      <c r="H156" s="21">
        <v>6.1372000000000003E-6</v>
      </c>
      <c r="I156" s="22">
        <v>0.08</v>
      </c>
      <c r="J156" s="35">
        <v>1.2</v>
      </c>
    </row>
    <row r="157" spans="1:10" x14ac:dyDescent="0.25">
      <c r="A157" s="3">
        <v>156</v>
      </c>
      <c r="B157" s="6" t="s">
        <v>289</v>
      </c>
      <c r="C157" s="6" t="s">
        <v>290</v>
      </c>
      <c r="D157" s="20">
        <v>212.38290521990001</v>
      </c>
      <c r="E157" s="20">
        <v>42.750607989900004</v>
      </c>
      <c r="F157" s="20">
        <v>28.923226095</v>
      </c>
      <c r="G157" s="20">
        <v>3.1944255172999996</v>
      </c>
      <c r="H157" s="20">
        <v>0</v>
      </c>
      <c r="I157" s="22">
        <v>-0.08</v>
      </c>
      <c r="J157" s="35">
        <v>0.84</v>
      </c>
    </row>
    <row r="158" spans="1:10" x14ac:dyDescent="0.25">
      <c r="A158" s="3">
        <v>157</v>
      </c>
      <c r="B158" s="6" t="s">
        <v>597</v>
      </c>
      <c r="C158" s="6" t="s">
        <v>598</v>
      </c>
      <c r="D158" s="21">
        <v>262.85954402559997</v>
      </c>
      <c r="E158" s="21">
        <v>51.494648279999993</v>
      </c>
      <c r="F158" s="21">
        <v>35.63373279519999</v>
      </c>
      <c r="G158" s="21">
        <v>4.5467346464</v>
      </c>
      <c r="H158" s="21">
        <v>1.17472E-5</v>
      </c>
      <c r="I158" s="22">
        <v>0.28000000000000003</v>
      </c>
      <c r="J158" s="35">
        <v>1.9</v>
      </c>
    </row>
    <row r="159" spans="1:10" x14ac:dyDescent="0.25">
      <c r="A159" s="3">
        <v>158</v>
      </c>
      <c r="B159" s="6" t="s">
        <v>291</v>
      </c>
      <c r="C159" s="4" t="s">
        <v>292</v>
      </c>
      <c r="D159" s="20">
        <v>125.8912</v>
      </c>
      <c r="E159" s="20">
        <v>46.9373</v>
      </c>
      <c r="F159" s="20">
        <v>37.8765</v>
      </c>
      <c r="G159" s="20">
        <v>3.5861999999999998</v>
      </c>
      <c r="H159" s="20">
        <v>0</v>
      </c>
      <c r="I159" s="22">
        <v>0.04</v>
      </c>
      <c r="J159" s="35">
        <v>1.1000000000000001</v>
      </c>
    </row>
    <row r="160" spans="1:10" x14ac:dyDescent="0.25">
      <c r="A160" s="3">
        <v>159</v>
      </c>
      <c r="B160" s="6" t="s">
        <v>293</v>
      </c>
      <c r="C160" s="6" t="s">
        <v>294</v>
      </c>
      <c r="D160" s="20">
        <v>140.5916</v>
      </c>
      <c r="E160" s="20">
        <v>46.588200000000001</v>
      </c>
      <c r="F160" s="20">
        <v>41.007300000000001</v>
      </c>
      <c r="G160" s="20">
        <v>3.9165999999999999</v>
      </c>
      <c r="H160" s="20">
        <v>0</v>
      </c>
      <c r="I160" s="20">
        <v>0.3</v>
      </c>
      <c r="J160" s="35">
        <v>2</v>
      </c>
    </row>
    <row r="161" spans="1:10" x14ac:dyDescent="0.25">
      <c r="A161" s="3">
        <v>160</v>
      </c>
      <c r="B161" s="6" t="s">
        <v>295</v>
      </c>
      <c r="C161" s="6" t="s">
        <v>296</v>
      </c>
      <c r="D161" s="20">
        <v>185.92070000000001</v>
      </c>
      <c r="E161" s="20">
        <v>60.334800000000001</v>
      </c>
      <c r="F161" s="20">
        <v>53.111499999999999</v>
      </c>
      <c r="G161" s="20">
        <v>4.6544999999999996</v>
      </c>
      <c r="H161" s="20">
        <v>0</v>
      </c>
      <c r="I161" s="20">
        <v>0.36</v>
      </c>
      <c r="J161" s="35">
        <v>2.2999999999999998</v>
      </c>
    </row>
    <row r="162" spans="1:10" x14ac:dyDescent="0.25">
      <c r="A162" s="3">
        <v>161</v>
      </c>
      <c r="B162" s="6" t="s">
        <v>297</v>
      </c>
      <c r="C162" s="6" t="s">
        <v>298</v>
      </c>
      <c r="D162" s="20">
        <v>72.46630264800001</v>
      </c>
      <c r="E162" s="20">
        <v>69.628591962000002</v>
      </c>
      <c r="F162" s="20">
        <v>-22.346308643499999</v>
      </c>
      <c r="G162" s="20">
        <v>2.3199769669999997</v>
      </c>
      <c r="H162" s="20">
        <v>3.7516040450000001</v>
      </c>
      <c r="I162" s="20">
        <v>0.2</v>
      </c>
      <c r="J162" s="35">
        <v>1.6</v>
      </c>
    </row>
    <row r="163" spans="1:10" x14ac:dyDescent="0.25">
      <c r="A163" s="3">
        <v>162</v>
      </c>
      <c r="B163" s="6" t="s">
        <v>299</v>
      </c>
      <c r="C163" s="6" t="s">
        <v>300</v>
      </c>
      <c r="D163" s="20">
        <v>93.185948290999988</v>
      </c>
      <c r="E163" s="20">
        <v>67.110367259</v>
      </c>
      <c r="F163" s="20">
        <v>-1.23619675</v>
      </c>
      <c r="G163" s="20">
        <v>2.8937684900000002</v>
      </c>
      <c r="H163" s="20">
        <v>3.1113896489999999</v>
      </c>
      <c r="I163" s="20">
        <v>0.04</v>
      </c>
      <c r="J163" s="35">
        <v>1.1000000000000001</v>
      </c>
    </row>
    <row r="164" spans="1:10" x14ac:dyDescent="0.25">
      <c r="A164" s="3">
        <v>163</v>
      </c>
      <c r="B164" s="4" t="s">
        <v>301</v>
      </c>
      <c r="C164" s="4" t="s">
        <v>302</v>
      </c>
      <c r="D164" s="20">
        <v>112.51607293479999</v>
      </c>
      <c r="E164" s="20">
        <v>65.457907597999991</v>
      </c>
      <c r="F164" s="20">
        <v>-0.3180646862</v>
      </c>
      <c r="G164" s="20">
        <v>2.9682332892000001</v>
      </c>
      <c r="H164" s="20">
        <v>3.1675548698</v>
      </c>
      <c r="I164" s="20">
        <v>0</v>
      </c>
      <c r="J164" s="35">
        <v>1</v>
      </c>
    </row>
    <row r="165" spans="1:10" x14ac:dyDescent="0.25">
      <c r="A165" s="3">
        <v>164</v>
      </c>
      <c r="B165" s="4" t="s">
        <v>303</v>
      </c>
      <c r="C165" s="4" t="s">
        <v>304</v>
      </c>
      <c r="D165" s="20">
        <v>107.64831060530001</v>
      </c>
      <c r="E165" s="20">
        <v>66.387187446400006</v>
      </c>
      <c r="F165" s="20">
        <v>-8.5945211360000009</v>
      </c>
      <c r="G165" s="20">
        <v>2.4352716502000002</v>
      </c>
      <c r="H165" s="20">
        <v>3.2231870247000001</v>
      </c>
      <c r="I165" s="20">
        <v>0.08</v>
      </c>
      <c r="J165" s="35">
        <v>1.2</v>
      </c>
    </row>
    <row r="166" spans="1:10" x14ac:dyDescent="0.25">
      <c r="A166" s="3">
        <v>165</v>
      </c>
      <c r="B166" s="6" t="s">
        <v>305</v>
      </c>
      <c r="C166" s="6" t="s">
        <v>306</v>
      </c>
      <c r="D166" s="20">
        <v>132.44292393019998</v>
      </c>
      <c r="E166" s="20">
        <v>66.143411514899995</v>
      </c>
      <c r="F166" s="20">
        <v>-6.5885912500000018E-2</v>
      </c>
      <c r="G166" s="20">
        <v>2.9341762739999999</v>
      </c>
      <c r="H166" s="20">
        <v>2.9608790211000002</v>
      </c>
      <c r="I166" s="20">
        <v>0.18</v>
      </c>
      <c r="J166" s="35">
        <v>1.5</v>
      </c>
    </row>
    <row r="167" spans="1:10" x14ac:dyDescent="0.25">
      <c r="A167" s="3">
        <v>166</v>
      </c>
      <c r="B167" s="4" t="s">
        <v>307</v>
      </c>
      <c r="C167" s="4" t="s">
        <v>308</v>
      </c>
      <c r="D167" s="20">
        <v>129.79306154239998</v>
      </c>
      <c r="E167" s="20">
        <v>65.020147746600003</v>
      </c>
      <c r="F167" s="20">
        <v>-0.1912452023</v>
      </c>
      <c r="G167" s="20">
        <v>2.9012794323</v>
      </c>
      <c r="H167" s="20">
        <v>3.2464759022999998</v>
      </c>
      <c r="I167" s="20">
        <v>0.08</v>
      </c>
      <c r="J167" s="35">
        <v>1.2</v>
      </c>
    </row>
    <row r="168" spans="1:10" x14ac:dyDescent="0.25">
      <c r="A168" s="3">
        <v>167</v>
      </c>
      <c r="B168" s="10" t="s">
        <v>309</v>
      </c>
      <c r="C168" s="9" t="s">
        <v>310</v>
      </c>
      <c r="D168" s="20">
        <v>127.75735186130001</v>
      </c>
      <c r="E168" s="20">
        <v>73.026455483999996</v>
      </c>
      <c r="F168" s="20">
        <v>-6.3971720203000011</v>
      </c>
      <c r="G168" s="20">
        <v>2.5921150024999999</v>
      </c>
      <c r="H168" s="20">
        <v>3.0891445532999997</v>
      </c>
      <c r="I168" s="20">
        <v>0.15</v>
      </c>
      <c r="J168" s="35">
        <v>1.4</v>
      </c>
    </row>
    <row r="169" spans="1:10" x14ac:dyDescent="0.25">
      <c r="A169" s="3">
        <v>168</v>
      </c>
      <c r="B169" s="4" t="s">
        <v>311</v>
      </c>
      <c r="C169" s="4" t="s">
        <v>312</v>
      </c>
      <c r="D169" s="20">
        <v>125.05485803020001</v>
      </c>
      <c r="E169" s="20">
        <v>62.326106021999998</v>
      </c>
      <c r="F169" s="20">
        <v>-5.5346996132000008</v>
      </c>
      <c r="G169" s="20">
        <v>2.5426492893999999</v>
      </c>
      <c r="H169" s="20">
        <v>2.9651475168000001</v>
      </c>
      <c r="I169" s="20">
        <v>0.15</v>
      </c>
      <c r="J169" s="35">
        <v>1.4</v>
      </c>
    </row>
    <row r="170" spans="1:10" x14ac:dyDescent="0.25">
      <c r="A170" s="3">
        <v>169</v>
      </c>
      <c r="B170" s="4" t="s">
        <v>313</v>
      </c>
      <c r="C170" s="4" t="s">
        <v>314</v>
      </c>
      <c r="D170" s="20">
        <v>152.4992591612</v>
      </c>
      <c r="E170" s="20">
        <v>66.389349605999996</v>
      </c>
      <c r="F170" s="20">
        <v>0.60703479689999995</v>
      </c>
      <c r="G170" s="20">
        <v>2.9876228284999997</v>
      </c>
      <c r="H170" s="20">
        <v>2.9884313638999997</v>
      </c>
      <c r="I170" s="20">
        <v>0.3</v>
      </c>
      <c r="J170" s="35">
        <v>2</v>
      </c>
    </row>
    <row r="171" spans="1:10" x14ac:dyDescent="0.25">
      <c r="A171" s="3">
        <v>170</v>
      </c>
      <c r="B171" s="4" t="s">
        <v>315</v>
      </c>
      <c r="C171" s="4" t="s">
        <v>316</v>
      </c>
      <c r="D171" s="20">
        <v>148.12183848180001</v>
      </c>
      <c r="E171" s="20">
        <v>65.023132562800001</v>
      </c>
      <c r="F171" s="20">
        <v>-1.5653461457999998</v>
      </c>
      <c r="G171" s="20">
        <v>2.7919663663000001</v>
      </c>
      <c r="H171" s="20">
        <v>3.0933951162999995</v>
      </c>
      <c r="I171" s="22">
        <v>0.3</v>
      </c>
      <c r="J171" s="35">
        <v>2</v>
      </c>
    </row>
    <row r="172" spans="1:10" x14ac:dyDescent="0.25">
      <c r="A172" s="3">
        <v>171</v>
      </c>
      <c r="B172" s="4" t="s">
        <v>317</v>
      </c>
      <c r="C172" s="4" t="s">
        <v>318</v>
      </c>
      <c r="D172" s="20">
        <v>172.61958515769999</v>
      </c>
      <c r="E172" s="20">
        <v>67.684276587599996</v>
      </c>
      <c r="F172" s="20">
        <v>0.72804606399999983</v>
      </c>
      <c r="G172" s="20">
        <v>2.9750589173999997</v>
      </c>
      <c r="H172" s="20">
        <v>3.0106173047000002</v>
      </c>
      <c r="I172" s="20">
        <v>0.46</v>
      </c>
      <c r="J172" s="35">
        <v>2.9</v>
      </c>
    </row>
    <row r="173" spans="1:10" x14ac:dyDescent="0.25">
      <c r="A173" s="3">
        <v>172</v>
      </c>
      <c r="B173" s="4" t="s">
        <v>319</v>
      </c>
      <c r="C173" s="4" t="s">
        <v>320</v>
      </c>
      <c r="D173" s="20">
        <v>192.60676029970003</v>
      </c>
      <c r="E173" s="20">
        <v>68.188033912299986</v>
      </c>
      <c r="F173" s="20">
        <v>0.72588050270000004</v>
      </c>
      <c r="G173" s="20">
        <v>2.9828347140000004</v>
      </c>
      <c r="H173" s="20">
        <v>3.1012340722999996</v>
      </c>
      <c r="I173" s="20">
        <v>0.57999999999999996</v>
      </c>
      <c r="J173" s="35">
        <v>3.8</v>
      </c>
    </row>
    <row r="174" spans="1:10" x14ac:dyDescent="0.25">
      <c r="A174" s="3">
        <v>173</v>
      </c>
      <c r="B174" s="4" t="s">
        <v>321</v>
      </c>
      <c r="C174" s="4" t="s">
        <v>322</v>
      </c>
      <c r="D174" s="20">
        <v>212.75225573049997</v>
      </c>
      <c r="E174" s="20">
        <v>69.278683471099981</v>
      </c>
      <c r="F174" s="20">
        <v>0.93758066619999991</v>
      </c>
      <c r="G174" s="20">
        <v>3.0125032341</v>
      </c>
      <c r="H174" s="20">
        <v>3.2122532555000003</v>
      </c>
      <c r="I174" s="20">
        <v>0.72</v>
      </c>
      <c r="J174" s="35">
        <v>5.3</v>
      </c>
    </row>
    <row r="175" spans="1:10" x14ac:dyDescent="0.25">
      <c r="A175" s="3">
        <v>174</v>
      </c>
      <c r="B175" s="4" t="s">
        <v>323</v>
      </c>
      <c r="C175" s="4" t="s">
        <v>324</v>
      </c>
      <c r="D175" s="20">
        <v>232.85760283089999</v>
      </c>
      <c r="E175" s="20">
        <v>70.187133880399998</v>
      </c>
      <c r="F175" s="20">
        <v>0.85640545750000019</v>
      </c>
      <c r="G175" s="20">
        <v>2.9423519283000004</v>
      </c>
      <c r="H175" s="20">
        <v>2.9837753129000002</v>
      </c>
      <c r="I175" s="20">
        <v>0.87</v>
      </c>
      <c r="J175" s="35">
        <v>7.4</v>
      </c>
    </row>
    <row r="176" spans="1:10" x14ac:dyDescent="0.25">
      <c r="A176" s="3">
        <v>175</v>
      </c>
      <c r="B176" s="4" t="s">
        <v>325</v>
      </c>
      <c r="C176" s="4" t="s">
        <v>326</v>
      </c>
      <c r="D176" s="20">
        <v>405.16009359470002</v>
      </c>
      <c r="E176" s="20">
        <v>83.97987887410001</v>
      </c>
      <c r="F176" s="20">
        <v>4.6434309424000002</v>
      </c>
      <c r="G176" s="20">
        <v>2.8841624791</v>
      </c>
      <c r="H176" s="20">
        <v>2.9519199240999994</v>
      </c>
      <c r="I176" s="20">
        <v>1.45</v>
      </c>
      <c r="J176" s="35">
        <v>28.4</v>
      </c>
    </row>
    <row r="177" spans="1:10" x14ac:dyDescent="0.25">
      <c r="A177" s="3">
        <v>176</v>
      </c>
      <c r="B177" s="6" t="s">
        <v>327</v>
      </c>
      <c r="C177" s="4" t="s">
        <v>328</v>
      </c>
      <c r="D177" s="20">
        <v>94.127404372000001</v>
      </c>
      <c r="E177" s="20">
        <v>46.829434479999996</v>
      </c>
      <c r="F177" s="20">
        <v>20.858401908000001</v>
      </c>
      <c r="G177" s="20">
        <v>2.3077236159999996</v>
      </c>
      <c r="H177" s="20">
        <v>0.14157012399999999</v>
      </c>
      <c r="I177" s="20">
        <v>-0.48</v>
      </c>
      <c r="J177" s="35">
        <v>0.33</v>
      </c>
    </row>
    <row r="178" spans="1:10" x14ac:dyDescent="0.25">
      <c r="A178" s="3">
        <v>177</v>
      </c>
      <c r="B178" s="6" t="s">
        <v>329</v>
      </c>
      <c r="C178" s="4" t="s">
        <v>330</v>
      </c>
      <c r="D178" s="20">
        <v>115.181706234</v>
      </c>
      <c r="E178" s="20">
        <v>47.578086264</v>
      </c>
      <c r="F178" s="20">
        <v>24.224739205999999</v>
      </c>
      <c r="G178" s="20">
        <v>2.5122506399999995</v>
      </c>
      <c r="H178" s="20">
        <v>0.112543464</v>
      </c>
      <c r="I178" s="20">
        <v>-0.42</v>
      </c>
      <c r="J178" s="35">
        <v>0.38</v>
      </c>
    </row>
    <row r="179" spans="1:10" x14ac:dyDescent="0.25">
      <c r="A179" s="3">
        <v>178</v>
      </c>
      <c r="B179" s="6" t="s">
        <v>331</v>
      </c>
      <c r="C179" s="4" t="s">
        <v>332</v>
      </c>
      <c r="D179" s="20">
        <v>134.73362675210004</v>
      </c>
      <c r="E179" s="20">
        <v>46.724516683899999</v>
      </c>
      <c r="F179" s="20">
        <v>24.009467272999998</v>
      </c>
      <c r="G179" s="20">
        <v>2.3966710751000004</v>
      </c>
      <c r="H179" s="20">
        <v>0.11187842639999999</v>
      </c>
      <c r="I179" s="20">
        <v>-0.31</v>
      </c>
      <c r="J179" s="35">
        <v>0.49</v>
      </c>
    </row>
    <row r="180" spans="1:10" x14ac:dyDescent="0.25">
      <c r="A180" s="3">
        <v>179</v>
      </c>
      <c r="B180" s="10" t="s">
        <v>333</v>
      </c>
      <c r="C180" s="9" t="s">
        <v>334</v>
      </c>
      <c r="D180" s="20">
        <v>132.56227339349999</v>
      </c>
      <c r="E180" s="20">
        <v>46.5884903575</v>
      </c>
      <c r="F180" s="20">
        <v>24.8967014935</v>
      </c>
      <c r="G180" s="20">
        <v>2.5606682854999998</v>
      </c>
      <c r="H180" s="20">
        <v>9.7291292500000015E-2</v>
      </c>
      <c r="I180" s="22">
        <v>-0.47</v>
      </c>
      <c r="J180" s="35">
        <v>0.34</v>
      </c>
    </row>
    <row r="181" spans="1:10" x14ac:dyDescent="0.25">
      <c r="A181" s="3">
        <v>180</v>
      </c>
      <c r="B181" s="4" t="s">
        <v>335</v>
      </c>
      <c r="C181" s="4" t="s">
        <v>336</v>
      </c>
      <c r="D181" s="20">
        <v>155.28851337660001</v>
      </c>
      <c r="E181" s="20">
        <v>48.254592202599994</v>
      </c>
      <c r="F181" s="20">
        <v>24.834108744800002</v>
      </c>
      <c r="G181" s="20">
        <v>2.6242850966</v>
      </c>
      <c r="H181" s="20">
        <v>0.1172131802</v>
      </c>
      <c r="I181" s="20">
        <v>-0.19</v>
      </c>
      <c r="J181" s="35">
        <v>0.64</v>
      </c>
    </row>
    <row r="182" spans="1:10" x14ac:dyDescent="0.25">
      <c r="A182" s="3">
        <v>181</v>
      </c>
      <c r="B182" s="4" t="s">
        <v>337</v>
      </c>
      <c r="C182" s="4" t="s">
        <v>338</v>
      </c>
      <c r="D182" s="20">
        <v>151.82887874159999</v>
      </c>
      <c r="E182" s="20">
        <v>47.028721987200001</v>
      </c>
      <c r="F182" s="20">
        <v>23.807167141600001</v>
      </c>
      <c r="G182" s="20">
        <v>2.5419183040000002</v>
      </c>
      <c r="H182" s="20">
        <v>0.11723451440000002</v>
      </c>
      <c r="I182" s="20">
        <v>-0.21</v>
      </c>
      <c r="J182" s="35">
        <v>0.62</v>
      </c>
    </row>
    <row r="183" spans="1:10" x14ac:dyDescent="0.25">
      <c r="A183" s="3">
        <v>182</v>
      </c>
      <c r="B183" s="4" t="s">
        <v>339</v>
      </c>
      <c r="C183" s="4" t="s">
        <v>340</v>
      </c>
      <c r="D183" s="20">
        <v>175.32974182000001</v>
      </c>
      <c r="E183" s="20">
        <v>49.072312112000006</v>
      </c>
      <c r="F183" s="20">
        <v>24.876234948</v>
      </c>
      <c r="G183" s="20">
        <v>2.616700646</v>
      </c>
      <c r="H183" s="20">
        <v>0.11238420200000002</v>
      </c>
      <c r="I183" s="20">
        <v>-0.11</v>
      </c>
      <c r="J183" s="35">
        <v>0.78</v>
      </c>
    </row>
    <row r="184" spans="1:10" x14ac:dyDescent="0.25">
      <c r="A184" s="3">
        <v>183</v>
      </c>
      <c r="B184" s="10" t="s">
        <v>343</v>
      </c>
      <c r="C184" s="9" t="s">
        <v>344</v>
      </c>
      <c r="D184" s="20">
        <v>170.89418460919998</v>
      </c>
      <c r="E184" s="20">
        <v>49.178882367400007</v>
      </c>
      <c r="F184" s="20">
        <v>24.423059130199999</v>
      </c>
      <c r="G184" s="20">
        <v>2.5461990202</v>
      </c>
      <c r="H184" s="20">
        <v>0.11165835040000001</v>
      </c>
      <c r="I184" s="20">
        <v>-0.31</v>
      </c>
      <c r="J184" s="35">
        <v>0.49</v>
      </c>
    </row>
    <row r="185" spans="1:10" x14ac:dyDescent="0.25">
      <c r="A185" s="3">
        <v>184</v>
      </c>
      <c r="B185" s="10" t="s">
        <v>341</v>
      </c>
      <c r="C185" s="9" t="s">
        <v>342</v>
      </c>
      <c r="D185" s="20">
        <v>194.89984130569999</v>
      </c>
      <c r="E185" s="20">
        <v>49.030296026400002</v>
      </c>
      <c r="F185" s="20">
        <v>24.472440587199998</v>
      </c>
      <c r="G185" s="20">
        <v>2.5106932443000001</v>
      </c>
      <c r="H185" s="20">
        <v>0.11252290370000001</v>
      </c>
      <c r="I185" s="20">
        <v>-0.02</v>
      </c>
      <c r="J185" s="35">
        <v>0.96</v>
      </c>
    </row>
    <row r="186" spans="1:10" x14ac:dyDescent="0.25">
      <c r="A186" s="3">
        <v>185</v>
      </c>
      <c r="B186" s="10" t="s">
        <v>599</v>
      </c>
      <c r="C186" s="9" t="s">
        <v>601</v>
      </c>
      <c r="D186" s="19">
        <v>235.37011042319998</v>
      </c>
      <c r="E186" s="19">
        <v>51.501515654399995</v>
      </c>
      <c r="F186" s="19">
        <v>24.987721242399999</v>
      </c>
      <c r="G186" s="19">
        <v>3.063076396</v>
      </c>
      <c r="H186" s="19">
        <v>0.12584086960000002</v>
      </c>
      <c r="I186" s="19">
        <v>0.06</v>
      </c>
      <c r="J186" s="35">
        <v>1.1599999999999999</v>
      </c>
    </row>
    <row r="187" spans="1:10" x14ac:dyDescent="0.25">
      <c r="A187" s="3">
        <v>186</v>
      </c>
      <c r="B187" s="10" t="s">
        <v>600</v>
      </c>
      <c r="C187" s="9" t="s">
        <v>602</v>
      </c>
      <c r="D187" s="21">
        <v>235.36729438140003</v>
      </c>
      <c r="E187" s="21">
        <v>51.38354003580001</v>
      </c>
      <c r="F187" s="21">
        <v>25.049743796799998</v>
      </c>
      <c r="G187" s="21">
        <v>3.041355324</v>
      </c>
      <c r="H187" s="21">
        <v>0.1253543634</v>
      </c>
      <c r="I187" s="22">
        <v>0.16</v>
      </c>
      <c r="J187" s="35">
        <v>1.45</v>
      </c>
    </row>
    <row r="188" spans="1:10" x14ac:dyDescent="0.25">
      <c r="A188" s="3">
        <v>187</v>
      </c>
      <c r="B188" s="6" t="s">
        <v>345</v>
      </c>
      <c r="C188" s="4" t="s">
        <v>346</v>
      </c>
      <c r="D188" s="20">
        <v>114.7500293846</v>
      </c>
      <c r="E188" s="20">
        <v>49.141793392100006</v>
      </c>
      <c r="F188" s="20">
        <v>30.671500966400004</v>
      </c>
      <c r="G188" s="20">
        <v>2.9547659980000001</v>
      </c>
      <c r="H188" s="20">
        <v>1.3343410000000002E-4</v>
      </c>
      <c r="I188" s="20">
        <v>-0.43</v>
      </c>
      <c r="J188" s="35">
        <v>0.37</v>
      </c>
    </row>
    <row r="189" spans="1:10" x14ac:dyDescent="0.25">
      <c r="A189" s="3">
        <v>188</v>
      </c>
      <c r="B189" s="6" t="s">
        <v>347</v>
      </c>
      <c r="C189" s="6" t="s">
        <v>348</v>
      </c>
      <c r="D189" s="20">
        <v>135.30127037720001</v>
      </c>
      <c r="E189" s="20">
        <v>49.193674074</v>
      </c>
      <c r="F189" s="20">
        <v>32.746222029000002</v>
      </c>
      <c r="G189" s="20">
        <v>3.0661108360000005</v>
      </c>
      <c r="H189" s="20">
        <v>8.6632800000000008E-5</v>
      </c>
      <c r="I189" s="22">
        <v>-0.37</v>
      </c>
      <c r="J189" s="35">
        <v>0.43</v>
      </c>
    </row>
    <row r="190" spans="1:10" x14ac:dyDescent="0.25">
      <c r="A190" s="3">
        <v>189</v>
      </c>
      <c r="B190" s="4" t="s">
        <v>349</v>
      </c>
      <c r="C190" s="4" t="s">
        <v>350</v>
      </c>
      <c r="D190" s="20">
        <v>130.55154404109999</v>
      </c>
      <c r="E190" s="20">
        <v>45.453984826099997</v>
      </c>
      <c r="F190" s="20">
        <v>15.570637790799999</v>
      </c>
      <c r="G190" s="20">
        <v>1.6732543136</v>
      </c>
      <c r="H190" s="20">
        <v>1.3698176000000001E-2</v>
      </c>
      <c r="I190" s="20">
        <v>-0.4</v>
      </c>
      <c r="J190" s="35">
        <v>0.4</v>
      </c>
    </row>
    <row r="191" spans="1:10" x14ac:dyDescent="0.25">
      <c r="A191" s="3">
        <v>190</v>
      </c>
      <c r="B191" s="10" t="s">
        <v>351</v>
      </c>
      <c r="C191" s="9" t="s">
        <v>352</v>
      </c>
      <c r="D191" s="20">
        <v>150.26417647059998</v>
      </c>
      <c r="E191" s="20">
        <v>55.695453260500003</v>
      </c>
      <c r="F191" s="20">
        <v>27.376243179700001</v>
      </c>
      <c r="G191" s="20">
        <v>2.7548068616000005</v>
      </c>
      <c r="H191" s="20">
        <v>1.7251190000000001E-4</v>
      </c>
      <c r="I191" s="20">
        <v>-0.34</v>
      </c>
      <c r="J191" s="35">
        <v>0.46</v>
      </c>
    </row>
    <row r="192" spans="1:10" x14ac:dyDescent="0.25">
      <c r="A192" s="3">
        <v>191</v>
      </c>
      <c r="B192" s="4" t="s">
        <v>353</v>
      </c>
      <c r="C192" s="4" t="s">
        <v>354</v>
      </c>
      <c r="D192" s="20">
        <v>155.32132135380002</v>
      </c>
      <c r="E192" s="20">
        <v>49.246867671799997</v>
      </c>
      <c r="F192" s="20">
        <v>32.921937507799996</v>
      </c>
      <c r="G192" s="20">
        <v>3.1553923253999998</v>
      </c>
      <c r="H192" s="20">
        <v>7.6991200000000009E-5</v>
      </c>
      <c r="I192" s="20">
        <v>-0.25</v>
      </c>
      <c r="J192" s="35">
        <v>0.56000000000000005</v>
      </c>
    </row>
    <row r="193" spans="1:10" x14ac:dyDescent="0.25">
      <c r="A193" s="3">
        <v>192</v>
      </c>
      <c r="B193" s="4" t="s">
        <v>355</v>
      </c>
      <c r="C193" s="4" t="s">
        <v>356</v>
      </c>
      <c r="D193" s="20">
        <v>152.9545642752</v>
      </c>
      <c r="E193" s="20">
        <v>48.131546475200004</v>
      </c>
      <c r="F193" s="20">
        <v>32.2145846672</v>
      </c>
      <c r="G193" s="20">
        <v>3.1009846128</v>
      </c>
      <c r="H193" s="20">
        <v>5.096E-6</v>
      </c>
      <c r="I193" s="20">
        <v>-0.33</v>
      </c>
      <c r="J193" s="35">
        <v>0.47</v>
      </c>
    </row>
    <row r="194" spans="1:10" x14ac:dyDescent="0.25">
      <c r="A194" s="3">
        <v>193</v>
      </c>
      <c r="B194" s="4" t="s">
        <v>357</v>
      </c>
      <c r="C194" s="4" t="s">
        <v>358</v>
      </c>
      <c r="D194" s="20">
        <v>171.58749927090003</v>
      </c>
      <c r="E194" s="20">
        <v>48.637670216899998</v>
      </c>
      <c r="F194" s="20">
        <v>31.956395236600002</v>
      </c>
      <c r="G194" s="20">
        <v>3.0950335863</v>
      </c>
      <c r="H194" s="20">
        <v>8.6410999999999993E-6</v>
      </c>
      <c r="I194" s="20">
        <v>-0.18</v>
      </c>
      <c r="J194" s="35">
        <v>0.66</v>
      </c>
    </row>
    <row r="195" spans="1:10" x14ac:dyDescent="0.25">
      <c r="A195" s="3">
        <v>194</v>
      </c>
      <c r="B195" s="4" t="s">
        <v>359</v>
      </c>
      <c r="C195" s="4" t="s">
        <v>360</v>
      </c>
      <c r="D195" s="20">
        <v>171.00844538759998</v>
      </c>
      <c r="E195" s="20">
        <v>47.588171959599997</v>
      </c>
      <c r="F195" s="20">
        <v>32.122370979399996</v>
      </c>
      <c r="G195" s="20">
        <v>3.0254347467999998</v>
      </c>
      <c r="H195" s="20">
        <v>3.738E-6</v>
      </c>
      <c r="I195" s="20">
        <v>-0.22</v>
      </c>
      <c r="J195" s="35">
        <v>0.6</v>
      </c>
    </row>
    <row r="196" spans="1:10" x14ac:dyDescent="0.25">
      <c r="A196" s="3">
        <v>195</v>
      </c>
      <c r="B196" s="4" t="s">
        <v>361</v>
      </c>
      <c r="C196" s="4" t="s">
        <v>362</v>
      </c>
      <c r="D196" s="20">
        <v>166.01228271849999</v>
      </c>
      <c r="E196" s="20">
        <v>45.241409545499998</v>
      </c>
      <c r="F196" s="20">
        <v>29.620212607499997</v>
      </c>
      <c r="G196" s="20">
        <v>2.8162130154999998</v>
      </c>
      <c r="H196" s="20">
        <v>2.0200000000000001E-7</v>
      </c>
      <c r="I196" s="20">
        <v>-0.32</v>
      </c>
      <c r="J196" s="35">
        <v>0.48</v>
      </c>
    </row>
    <row r="197" spans="1:10" x14ac:dyDescent="0.25">
      <c r="A197" s="3">
        <v>196</v>
      </c>
      <c r="B197" s="6" t="s">
        <v>363</v>
      </c>
      <c r="C197" s="6" t="s">
        <v>364</v>
      </c>
      <c r="D197" s="20">
        <v>175.13037148090001</v>
      </c>
      <c r="E197" s="20">
        <v>50.003041657899999</v>
      </c>
      <c r="F197" s="20">
        <v>33.164262296000004</v>
      </c>
      <c r="G197" s="20">
        <v>3.0922330863999998</v>
      </c>
      <c r="H197" s="20">
        <v>7.0381299999999996E-5</v>
      </c>
      <c r="I197" s="20">
        <v>-0.17</v>
      </c>
      <c r="J197" s="35">
        <v>0.68</v>
      </c>
    </row>
    <row r="198" spans="1:10" x14ac:dyDescent="0.25">
      <c r="A198" s="3">
        <v>197</v>
      </c>
      <c r="B198" s="6" t="s">
        <v>365</v>
      </c>
      <c r="C198" s="4" t="s">
        <v>366</v>
      </c>
      <c r="D198" s="20">
        <v>195.2170220182</v>
      </c>
      <c r="E198" s="20">
        <v>50.839228159400001</v>
      </c>
      <c r="F198" s="20">
        <v>33.144068840199999</v>
      </c>
      <c r="G198" s="20">
        <v>3.0721898933</v>
      </c>
      <c r="H198" s="20">
        <v>0</v>
      </c>
      <c r="I198" s="20">
        <v>-0.08</v>
      </c>
      <c r="J198" s="35">
        <v>0.84</v>
      </c>
    </row>
    <row r="199" spans="1:10" x14ac:dyDescent="0.25">
      <c r="A199" s="3">
        <v>198</v>
      </c>
      <c r="B199" s="6" t="s">
        <v>367</v>
      </c>
      <c r="C199" s="6" t="s">
        <v>368</v>
      </c>
      <c r="D199" s="20">
        <v>190.76159530930002</v>
      </c>
      <c r="E199" s="20">
        <v>51.381778867300007</v>
      </c>
      <c r="F199" s="20">
        <v>33.264158966000004</v>
      </c>
      <c r="G199" s="20">
        <v>3.1254205657000003</v>
      </c>
      <c r="H199" s="20">
        <v>5.8792400000000003E-5</v>
      </c>
      <c r="I199" s="20">
        <v>-0.09</v>
      </c>
      <c r="J199" s="35">
        <v>0.81</v>
      </c>
    </row>
    <row r="200" spans="1:10" x14ac:dyDescent="0.25">
      <c r="A200" s="3">
        <v>199</v>
      </c>
      <c r="B200" s="4" t="s">
        <v>369</v>
      </c>
      <c r="C200" s="4" t="s">
        <v>370</v>
      </c>
      <c r="D200" s="20">
        <v>215.62914908829998</v>
      </c>
      <c r="E200" s="20">
        <v>52.742369760300001</v>
      </c>
      <c r="F200" s="20">
        <v>34.590350716099998</v>
      </c>
      <c r="G200" s="20">
        <v>3.2924528257000003</v>
      </c>
      <c r="H200" s="20">
        <v>0</v>
      </c>
      <c r="I200" s="20">
        <v>0.04</v>
      </c>
      <c r="J200" s="35">
        <v>1.1000000000000001</v>
      </c>
    </row>
    <row r="201" spans="1:10" x14ac:dyDescent="0.25">
      <c r="A201" s="3">
        <v>200</v>
      </c>
      <c r="B201" s="4" t="s">
        <v>371</v>
      </c>
      <c r="C201" s="4" t="s">
        <v>372</v>
      </c>
      <c r="D201" s="20">
        <v>255.43891272619999</v>
      </c>
      <c r="E201" s="20">
        <v>53.639606684399993</v>
      </c>
      <c r="F201" s="20">
        <v>33.456156061400002</v>
      </c>
      <c r="G201" s="20">
        <v>3.1554758564000003</v>
      </c>
      <c r="H201" s="20">
        <v>6.33462E-5</v>
      </c>
      <c r="I201" s="20">
        <v>0.2</v>
      </c>
      <c r="J201" s="35">
        <v>1.6</v>
      </c>
    </row>
    <row r="202" spans="1:10" x14ac:dyDescent="0.25">
      <c r="A202" s="3">
        <v>201</v>
      </c>
      <c r="B202" s="6" t="s">
        <v>373</v>
      </c>
      <c r="C202" s="6" t="s">
        <v>374</v>
      </c>
      <c r="D202" s="20">
        <v>188.26041732340002</v>
      </c>
      <c r="E202" s="20">
        <v>70.929721088899996</v>
      </c>
      <c r="F202" s="20">
        <v>48.8225843309</v>
      </c>
      <c r="G202" s="20">
        <v>5.1974142113000017</v>
      </c>
      <c r="H202" s="20">
        <v>6.1844100000000006E-5</v>
      </c>
      <c r="I202" s="20">
        <v>0.04</v>
      </c>
      <c r="J202" s="35">
        <v>1.1000000000000001</v>
      </c>
    </row>
    <row r="203" spans="1:10" x14ac:dyDescent="0.25">
      <c r="A203" s="3">
        <v>202</v>
      </c>
      <c r="B203" s="4" t="s">
        <v>375</v>
      </c>
      <c r="C203" s="4" t="s">
        <v>376</v>
      </c>
      <c r="D203" s="20">
        <v>129.2225412352</v>
      </c>
      <c r="E203" s="20">
        <v>48.065074361599997</v>
      </c>
      <c r="F203" s="20">
        <v>23.784456566399996</v>
      </c>
      <c r="G203" s="20">
        <v>2.5556450847999996</v>
      </c>
      <c r="H203" s="20">
        <v>1.0801785600000001E-2</v>
      </c>
      <c r="I203" s="20">
        <v>-0.35</v>
      </c>
      <c r="J203" s="35">
        <v>0.45</v>
      </c>
    </row>
    <row r="204" spans="1:10" x14ac:dyDescent="0.25">
      <c r="A204" s="3">
        <v>203</v>
      </c>
      <c r="B204" s="4" t="s">
        <v>377</v>
      </c>
      <c r="C204" s="4" t="s">
        <v>378</v>
      </c>
      <c r="D204" s="20">
        <v>134.1004558692</v>
      </c>
      <c r="E204" s="20">
        <v>47.281979139399994</v>
      </c>
      <c r="F204" s="20">
        <v>29.784708288400001</v>
      </c>
      <c r="G204" s="20">
        <v>3.0446500036000002</v>
      </c>
      <c r="H204" s="20">
        <v>6.8238000000000006E-6</v>
      </c>
      <c r="I204" s="20">
        <v>-0.36</v>
      </c>
      <c r="J204" s="35">
        <v>0.44</v>
      </c>
    </row>
    <row r="205" spans="1:10" x14ac:dyDescent="0.25">
      <c r="A205" s="3">
        <v>204</v>
      </c>
      <c r="B205" s="4" t="s">
        <v>379</v>
      </c>
      <c r="C205" s="4" t="s">
        <v>380</v>
      </c>
      <c r="D205" s="20">
        <v>154.1245533595</v>
      </c>
      <c r="E205" s="20">
        <v>47.896102132599992</v>
      </c>
      <c r="F205" s="20">
        <v>29.994825025900003</v>
      </c>
      <c r="G205" s="20">
        <v>3.0816646530999998</v>
      </c>
      <c r="H205" s="20">
        <v>1.1318000000000001E-6</v>
      </c>
      <c r="I205" s="20">
        <v>-0.26</v>
      </c>
      <c r="J205" s="35">
        <v>0.55000000000000004</v>
      </c>
    </row>
    <row r="206" spans="1:10" x14ac:dyDescent="0.25">
      <c r="A206" s="3">
        <v>205</v>
      </c>
      <c r="B206" s="10" t="s">
        <v>381</v>
      </c>
      <c r="C206" s="9" t="s">
        <v>382</v>
      </c>
      <c r="D206" s="20">
        <v>151.76526439970002</v>
      </c>
      <c r="E206" s="20">
        <v>46.076084776600005</v>
      </c>
      <c r="F206" s="20">
        <v>30.146775038400001</v>
      </c>
      <c r="G206" s="20">
        <v>2.8935503943000001</v>
      </c>
      <c r="H206" s="20">
        <v>7.2600000000000015E-8</v>
      </c>
      <c r="I206" s="20">
        <v>-0.32</v>
      </c>
      <c r="J206" s="35">
        <v>0.48</v>
      </c>
    </row>
    <row r="207" spans="1:10" x14ac:dyDescent="0.25">
      <c r="A207" s="3">
        <v>206</v>
      </c>
      <c r="B207" s="6" t="s">
        <v>383</v>
      </c>
      <c r="C207" s="4" t="s">
        <v>384</v>
      </c>
      <c r="D207" s="20">
        <v>154.65397022249999</v>
      </c>
      <c r="E207" s="20">
        <v>47.660835655999996</v>
      </c>
      <c r="F207" s="20">
        <v>32.1534868213</v>
      </c>
      <c r="G207" s="20">
        <v>3.1145598724999997</v>
      </c>
      <c r="H207" s="20">
        <v>3.3929999999999997E-7</v>
      </c>
      <c r="I207" s="20">
        <v>-0.3</v>
      </c>
      <c r="J207" s="35">
        <v>0.5</v>
      </c>
    </row>
    <row r="208" spans="1:10" x14ac:dyDescent="0.25">
      <c r="A208" s="3">
        <v>207</v>
      </c>
      <c r="B208" s="10" t="s">
        <v>385</v>
      </c>
      <c r="C208" s="25" t="s">
        <v>386</v>
      </c>
      <c r="D208" s="20">
        <v>162.8083309255</v>
      </c>
      <c r="E208" s="20">
        <v>66.986791046600004</v>
      </c>
      <c r="F208" s="20">
        <v>33.693919088299992</v>
      </c>
      <c r="G208" s="20">
        <v>4.3705348496999994</v>
      </c>
      <c r="H208" s="20">
        <v>0.53447418410000003</v>
      </c>
      <c r="I208" s="22">
        <v>0.34</v>
      </c>
      <c r="J208" s="35">
        <v>2.2000000000000002</v>
      </c>
    </row>
    <row r="209" spans="1:10" x14ac:dyDescent="0.25">
      <c r="A209" s="3">
        <v>208</v>
      </c>
      <c r="B209" s="4" t="s">
        <v>387</v>
      </c>
      <c r="C209" s="4" t="s">
        <v>388</v>
      </c>
      <c r="D209" s="20">
        <v>175.11182790520002</v>
      </c>
      <c r="E209" s="20">
        <v>48.595556170800002</v>
      </c>
      <c r="F209" s="20">
        <v>33.314389038400002</v>
      </c>
      <c r="G209" s="20">
        <v>3.3402199941999999</v>
      </c>
      <c r="H209" s="20">
        <v>1.7446000000000002E-6</v>
      </c>
      <c r="I209" s="20">
        <v>-0.19</v>
      </c>
      <c r="J209" s="35">
        <v>0.64</v>
      </c>
    </row>
    <row r="210" spans="1:10" x14ac:dyDescent="0.25">
      <c r="A210" s="3">
        <v>209</v>
      </c>
      <c r="B210" s="4" t="s">
        <v>389</v>
      </c>
      <c r="C210" s="4" t="s">
        <v>390</v>
      </c>
      <c r="D210" s="20">
        <v>174.89796123220003</v>
      </c>
      <c r="E210" s="20">
        <v>48.651323445300001</v>
      </c>
      <c r="F210" s="20">
        <v>32.803564428800001</v>
      </c>
      <c r="G210" s="20">
        <v>3.2763097401999999</v>
      </c>
      <c r="H210" s="20">
        <v>2.1392000000000002E-6</v>
      </c>
      <c r="I210" s="20">
        <v>-0.2</v>
      </c>
      <c r="J210" s="35">
        <v>0.63</v>
      </c>
    </row>
    <row r="211" spans="1:10" x14ac:dyDescent="0.25">
      <c r="A211" s="3">
        <v>210</v>
      </c>
      <c r="B211" s="4" t="s">
        <v>391</v>
      </c>
      <c r="C211" s="4" t="s">
        <v>392</v>
      </c>
      <c r="D211" s="20">
        <v>172.75309191489995</v>
      </c>
      <c r="E211" s="20">
        <v>47.048985955999996</v>
      </c>
      <c r="F211" s="20">
        <v>33.047737494300002</v>
      </c>
      <c r="G211" s="20">
        <v>3.1016263881000001</v>
      </c>
      <c r="H211" s="20">
        <v>2.8000000000000003E-9</v>
      </c>
      <c r="I211" s="20">
        <v>-0.25</v>
      </c>
      <c r="J211" s="35">
        <v>0.56000000000000005</v>
      </c>
    </row>
    <row r="212" spans="1:10" x14ac:dyDescent="0.25">
      <c r="A212" s="3">
        <v>211</v>
      </c>
      <c r="B212" s="10" t="s">
        <v>393</v>
      </c>
      <c r="C212" s="9" t="s">
        <v>394</v>
      </c>
      <c r="D212" s="20">
        <v>169.68410667520001</v>
      </c>
      <c r="E212" s="20">
        <v>47.431278191400004</v>
      </c>
      <c r="F212" s="20">
        <v>29.095346689100001</v>
      </c>
      <c r="G212" s="20">
        <v>2.9315388573000001</v>
      </c>
      <c r="H212" s="20">
        <v>2.0000000000000003E-6</v>
      </c>
      <c r="I212" s="20">
        <v>-0.32</v>
      </c>
      <c r="J212" s="35">
        <v>0.48</v>
      </c>
    </row>
    <row r="213" spans="1:10" x14ac:dyDescent="0.25">
      <c r="A213" s="3">
        <v>212</v>
      </c>
      <c r="B213" s="13" t="s">
        <v>395</v>
      </c>
      <c r="C213" s="13" t="s">
        <v>396</v>
      </c>
      <c r="D213" s="20">
        <v>174.13498075199999</v>
      </c>
      <c r="E213" s="20">
        <v>48.778327352600002</v>
      </c>
      <c r="F213" s="20">
        <v>30.2951874924</v>
      </c>
      <c r="G213" s="20">
        <v>3.0034130493999998</v>
      </c>
      <c r="H213" s="20">
        <v>3.8063999999999997E-6</v>
      </c>
      <c r="I213" s="20">
        <v>-0.21</v>
      </c>
      <c r="J213" s="35">
        <v>0.62</v>
      </c>
    </row>
    <row r="214" spans="1:10" x14ac:dyDescent="0.25">
      <c r="A214" s="3">
        <v>213</v>
      </c>
      <c r="B214" s="4" t="s">
        <v>397</v>
      </c>
      <c r="C214" s="4" t="s">
        <v>398</v>
      </c>
      <c r="D214" s="20">
        <v>195.13381143140001</v>
      </c>
      <c r="E214" s="20">
        <v>49.134504186200004</v>
      </c>
      <c r="F214" s="20">
        <v>33.124840001600006</v>
      </c>
      <c r="G214" s="20">
        <v>3.2577487088000003</v>
      </c>
      <c r="H214" s="20">
        <v>0</v>
      </c>
      <c r="I214" s="20">
        <v>-0.11</v>
      </c>
      <c r="J214" s="35">
        <v>0.78</v>
      </c>
    </row>
    <row r="215" spans="1:10" x14ac:dyDescent="0.25">
      <c r="A215" s="3">
        <v>214</v>
      </c>
      <c r="B215" s="4" t="s">
        <v>399</v>
      </c>
      <c r="C215" s="4" t="s">
        <v>400</v>
      </c>
      <c r="D215" s="20">
        <v>195.16924449449999</v>
      </c>
      <c r="E215" s="20">
        <v>49.087573806999998</v>
      </c>
      <c r="F215" s="20">
        <v>33.408548605500002</v>
      </c>
      <c r="G215" s="20">
        <v>3.2766696149999999</v>
      </c>
      <c r="H215" s="20">
        <v>0</v>
      </c>
      <c r="I215" s="20">
        <v>-0.09</v>
      </c>
      <c r="J215" s="35">
        <v>0.81</v>
      </c>
    </row>
    <row r="216" spans="1:10" x14ac:dyDescent="0.25">
      <c r="A216" s="3">
        <v>215</v>
      </c>
      <c r="B216" s="10" t="s">
        <v>401</v>
      </c>
      <c r="C216" s="4" t="s">
        <v>402</v>
      </c>
      <c r="D216" s="20">
        <v>194.14510000000001</v>
      </c>
      <c r="E216" s="20">
        <v>49.597099999999998</v>
      </c>
      <c r="F216" s="20">
        <v>30.427299999999999</v>
      </c>
      <c r="G216" s="20">
        <v>3.1429</v>
      </c>
      <c r="H216" s="20">
        <v>0</v>
      </c>
      <c r="I216" s="20">
        <v>-0.08</v>
      </c>
      <c r="J216" s="35">
        <v>0.83</v>
      </c>
    </row>
    <row r="217" spans="1:10" x14ac:dyDescent="0.25">
      <c r="A217" s="3">
        <v>216</v>
      </c>
      <c r="B217" s="3" t="s">
        <v>403</v>
      </c>
      <c r="C217" s="9" t="s">
        <v>404</v>
      </c>
      <c r="D217" s="20">
        <v>194.96406480580001</v>
      </c>
      <c r="E217" s="20">
        <v>49.675893329799997</v>
      </c>
      <c r="F217" s="20">
        <v>33.216056131599998</v>
      </c>
      <c r="G217" s="20">
        <v>3.2791172575999998</v>
      </c>
      <c r="H217" s="20">
        <v>0</v>
      </c>
      <c r="I217" s="20">
        <v>-0.11</v>
      </c>
      <c r="J217" s="35">
        <v>0.77</v>
      </c>
    </row>
    <row r="218" spans="1:10" x14ac:dyDescent="0.25">
      <c r="A218" s="3">
        <v>217</v>
      </c>
      <c r="B218" s="10" t="s">
        <v>405</v>
      </c>
      <c r="C218" s="9" t="s">
        <v>406</v>
      </c>
      <c r="D218" s="20">
        <v>190.25817523900002</v>
      </c>
      <c r="E218" s="20">
        <v>47.724505958900004</v>
      </c>
      <c r="F218" s="20">
        <v>31.096953883800001</v>
      </c>
      <c r="G218" s="20">
        <v>3.0478133309999995</v>
      </c>
      <c r="H218" s="20">
        <v>0</v>
      </c>
      <c r="I218" s="20">
        <v>-0.28000000000000003</v>
      </c>
      <c r="J218" s="35">
        <v>0.53</v>
      </c>
    </row>
    <row r="219" spans="1:10" x14ac:dyDescent="0.25">
      <c r="A219" s="3">
        <v>218</v>
      </c>
      <c r="B219" s="4" t="s">
        <v>407</v>
      </c>
      <c r="C219" s="4" t="s">
        <v>408</v>
      </c>
      <c r="D219" s="20">
        <v>214.28678843789999</v>
      </c>
      <c r="E219" s="20">
        <v>48.667241920500004</v>
      </c>
      <c r="F219" s="20">
        <v>32.365937434199999</v>
      </c>
      <c r="G219" s="20">
        <v>3.1354757911999998</v>
      </c>
      <c r="H219" s="20">
        <v>0</v>
      </c>
      <c r="I219" s="20">
        <v>-0.04</v>
      </c>
      <c r="J219" s="35">
        <v>0.92</v>
      </c>
    </row>
    <row r="220" spans="1:10" x14ac:dyDescent="0.25">
      <c r="A220" s="3">
        <v>219</v>
      </c>
      <c r="B220" s="10" t="s">
        <v>409</v>
      </c>
      <c r="C220" s="9" t="s">
        <v>410</v>
      </c>
      <c r="D220" s="20">
        <v>214.74514262380001</v>
      </c>
      <c r="E220" s="20">
        <v>49.893374427600008</v>
      </c>
      <c r="F220" s="20">
        <v>32.8619731828</v>
      </c>
      <c r="G220" s="20">
        <v>3.1605546483000002</v>
      </c>
      <c r="H220" s="20">
        <v>0</v>
      </c>
      <c r="I220" s="20">
        <v>-0.01</v>
      </c>
      <c r="J220" s="35">
        <v>0.97</v>
      </c>
    </row>
    <row r="221" spans="1:10" x14ac:dyDescent="0.25">
      <c r="A221" s="3">
        <v>220</v>
      </c>
      <c r="B221" s="13" t="s">
        <v>411</v>
      </c>
      <c r="C221" s="13" t="s">
        <v>412</v>
      </c>
      <c r="D221" s="20">
        <v>214.32490000000001</v>
      </c>
      <c r="E221" s="20">
        <v>50.600200000000001</v>
      </c>
      <c r="F221" s="20">
        <v>30.720700000000001</v>
      </c>
      <c r="G221" s="20">
        <v>2.9971999999999999</v>
      </c>
      <c r="H221" s="20">
        <v>0</v>
      </c>
      <c r="I221" s="20">
        <v>0</v>
      </c>
      <c r="J221" s="35">
        <v>1</v>
      </c>
    </row>
    <row r="222" spans="1:10" x14ac:dyDescent="0.25">
      <c r="A222" s="3">
        <v>221</v>
      </c>
      <c r="B222" s="10" t="s">
        <v>413</v>
      </c>
      <c r="C222" s="9" t="s">
        <v>414</v>
      </c>
      <c r="D222" s="20">
        <v>235.12784819180001</v>
      </c>
      <c r="E222" s="20">
        <v>51.307419248399995</v>
      </c>
      <c r="F222" s="20">
        <v>33.280598312099997</v>
      </c>
      <c r="G222" s="20">
        <v>3.2257214860999999</v>
      </c>
      <c r="H222" s="20">
        <v>0</v>
      </c>
      <c r="I222" s="20">
        <v>0.06</v>
      </c>
      <c r="J222" s="35">
        <v>1.1399999999999999</v>
      </c>
    </row>
    <row r="223" spans="1:10" x14ac:dyDescent="0.25">
      <c r="A223" s="3">
        <v>222</v>
      </c>
      <c r="B223" s="10" t="s">
        <v>415</v>
      </c>
      <c r="C223" s="9" t="s">
        <v>416</v>
      </c>
      <c r="D223" s="20">
        <v>234.27500000000001</v>
      </c>
      <c r="E223" s="20">
        <v>51.438299999999998</v>
      </c>
      <c r="F223" s="20">
        <v>30.620799999999999</v>
      </c>
      <c r="G223" s="20">
        <v>3.1381999999999999</v>
      </c>
      <c r="H223" s="20">
        <v>0</v>
      </c>
      <c r="I223" s="20">
        <v>0.11</v>
      </c>
      <c r="J223" s="35">
        <v>1.3</v>
      </c>
    </row>
    <row r="224" spans="1:10" x14ac:dyDescent="0.25">
      <c r="A224" s="3">
        <v>223</v>
      </c>
      <c r="B224" s="10" t="s">
        <v>417</v>
      </c>
      <c r="C224" s="9" t="s">
        <v>418</v>
      </c>
      <c r="D224" s="20">
        <v>234.98761250069998</v>
      </c>
      <c r="E224" s="20">
        <v>50.64683316</v>
      </c>
      <c r="F224" s="20">
        <v>33.705317927499998</v>
      </c>
      <c r="G224" s="20">
        <v>3.3664519237000001</v>
      </c>
      <c r="H224" s="20">
        <v>0</v>
      </c>
      <c r="I224" s="20">
        <v>0.08</v>
      </c>
      <c r="J224" s="35">
        <v>1.2</v>
      </c>
    </row>
    <row r="225" spans="1:10" x14ac:dyDescent="0.25">
      <c r="A225" s="3">
        <v>224</v>
      </c>
      <c r="B225" s="10" t="s">
        <v>419</v>
      </c>
      <c r="C225" s="9" t="s">
        <v>420</v>
      </c>
      <c r="D225" s="20">
        <v>254.93028577640001</v>
      </c>
      <c r="E225" s="20">
        <v>51.319152044799999</v>
      </c>
      <c r="F225" s="20">
        <v>32.363922473599999</v>
      </c>
      <c r="G225" s="20">
        <v>3.1168153900000002</v>
      </c>
      <c r="H225" s="20">
        <v>0</v>
      </c>
      <c r="I225" s="20">
        <v>0.15</v>
      </c>
      <c r="J225" s="35">
        <v>1.4</v>
      </c>
    </row>
    <row r="226" spans="1:10" x14ac:dyDescent="0.25">
      <c r="A226" s="3">
        <v>225</v>
      </c>
      <c r="B226" s="13" t="s">
        <v>421</v>
      </c>
      <c r="C226" s="13" t="s">
        <v>422</v>
      </c>
      <c r="D226" s="20">
        <v>254.52459999999999</v>
      </c>
      <c r="E226" s="20">
        <v>52.311100000000003</v>
      </c>
      <c r="F226" s="20">
        <v>30.732800000000001</v>
      </c>
      <c r="G226" s="20">
        <v>3.0118999999999998</v>
      </c>
      <c r="H226" s="20">
        <v>0</v>
      </c>
      <c r="I226" s="20">
        <v>0.18</v>
      </c>
      <c r="J226" s="35">
        <v>1.5</v>
      </c>
    </row>
    <row r="227" spans="1:10" x14ac:dyDescent="0.25">
      <c r="A227" s="3">
        <v>226</v>
      </c>
      <c r="B227" s="10" t="s">
        <v>423</v>
      </c>
      <c r="C227" s="9" t="s">
        <v>424</v>
      </c>
      <c r="D227" s="20">
        <v>274.59620000000001</v>
      </c>
      <c r="E227" s="20">
        <v>53.340600000000002</v>
      </c>
      <c r="F227" s="20">
        <v>30.622800000000002</v>
      </c>
      <c r="G227" s="20">
        <v>3.1381000000000001</v>
      </c>
      <c r="H227" s="20">
        <v>0</v>
      </c>
      <c r="I227" s="20">
        <v>0.28000000000000003</v>
      </c>
      <c r="J227" s="35">
        <v>1.9</v>
      </c>
    </row>
    <row r="228" spans="1:10" x14ac:dyDescent="0.25">
      <c r="A228" s="3">
        <v>227</v>
      </c>
      <c r="B228" s="10" t="s">
        <v>425</v>
      </c>
      <c r="C228" s="9" t="s">
        <v>426</v>
      </c>
      <c r="D228" s="20">
        <v>314.57299999999998</v>
      </c>
      <c r="E228" s="20">
        <v>55.055100000000003</v>
      </c>
      <c r="F228" s="20">
        <v>30.829799999999999</v>
      </c>
      <c r="G228" s="20">
        <v>3.089</v>
      </c>
      <c r="H228" s="20">
        <v>0</v>
      </c>
      <c r="I228" s="22">
        <v>0.46</v>
      </c>
      <c r="J228" s="35">
        <v>2.9</v>
      </c>
    </row>
    <row r="229" spans="1:10" x14ac:dyDescent="0.25">
      <c r="A229" s="3">
        <v>228</v>
      </c>
      <c r="B229" s="10" t="s">
        <v>427</v>
      </c>
      <c r="C229" s="9" t="s">
        <v>428</v>
      </c>
      <c r="D229" s="20">
        <v>354.91989999999998</v>
      </c>
      <c r="E229" s="20">
        <v>56.608199999999997</v>
      </c>
      <c r="F229" s="20">
        <v>30.8948</v>
      </c>
      <c r="G229" s="20">
        <v>3.0718000000000001</v>
      </c>
      <c r="H229" s="20">
        <v>0</v>
      </c>
      <c r="I229" s="20">
        <v>0.62</v>
      </c>
      <c r="J229" s="35">
        <v>4.2</v>
      </c>
    </row>
    <row r="230" spans="1:10" x14ac:dyDescent="0.25">
      <c r="A230" s="3">
        <v>229</v>
      </c>
      <c r="B230" s="3" t="s">
        <v>511</v>
      </c>
      <c r="C230" s="10" t="s">
        <v>512</v>
      </c>
      <c r="D230" s="19">
        <v>349.96065143749996</v>
      </c>
      <c r="E230" s="19">
        <v>52.204257703099998</v>
      </c>
      <c r="F230" s="19">
        <v>31.570083304000004</v>
      </c>
      <c r="G230" s="19">
        <v>3.4574301389000004</v>
      </c>
      <c r="H230" s="19">
        <v>0</v>
      </c>
      <c r="I230" s="19">
        <v>0.49</v>
      </c>
      <c r="J230" s="35">
        <v>3.1</v>
      </c>
    </row>
    <row r="231" spans="1:10" x14ac:dyDescent="0.25">
      <c r="A231" s="3">
        <v>230</v>
      </c>
      <c r="B231" s="3" t="s">
        <v>513</v>
      </c>
      <c r="C231" s="10" t="s">
        <v>514</v>
      </c>
      <c r="D231" s="19">
        <v>350.26529066500007</v>
      </c>
      <c r="E231" s="19">
        <v>52.166691151500004</v>
      </c>
      <c r="F231" s="19">
        <v>31.479529960399997</v>
      </c>
      <c r="G231" s="19">
        <v>3.5947626859000001</v>
      </c>
      <c r="H231" s="19">
        <v>0</v>
      </c>
      <c r="I231" s="19">
        <v>0.56000000000000005</v>
      </c>
      <c r="J231" s="35">
        <v>3.6</v>
      </c>
    </row>
    <row r="232" spans="1:10" x14ac:dyDescent="0.25">
      <c r="A232" s="3">
        <v>231</v>
      </c>
      <c r="B232" s="13" t="s">
        <v>429</v>
      </c>
      <c r="C232" s="13" t="s">
        <v>430</v>
      </c>
      <c r="D232" s="20">
        <v>370.10448006820002</v>
      </c>
      <c r="E232" s="20">
        <v>52.8885319448</v>
      </c>
      <c r="F232" s="20">
        <v>31.734471448799994</v>
      </c>
      <c r="G232" s="20">
        <v>2.9593514334000002</v>
      </c>
      <c r="H232" s="20">
        <v>0</v>
      </c>
      <c r="I232" s="20">
        <v>0.64</v>
      </c>
      <c r="J232" s="35">
        <v>4.4000000000000004</v>
      </c>
    </row>
    <row r="233" spans="1:10" x14ac:dyDescent="0.25">
      <c r="A233" s="3">
        <v>232</v>
      </c>
      <c r="B233" s="3" t="s">
        <v>515</v>
      </c>
      <c r="C233" s="10" t="s">
        <v>516</v>
      </c>
      <c r="D233" s="19">
        <v>368.63960931840001</v>
      </c>
      <c r="E233" s="19">
        <v>51.796670901299997</v>
      </c>
      <c r="F233" s="19">
        <v>30.394381862700001</v>
      </c>
      <c r="G233" s="19">
        <v>3.5119851732000003</v>
      </c>
      <c r="H233" s="19">
        <v>0</v>
      </c>
      <c r="I233" s="19">
        <v>0.56999999999999995</v>
      </c>
      <c r="J233" s="35">
        <v>3.7</v>
      </c>
    </row>
    <row r="234" spans="1:10" x14ac:dyDescent="0.25">
      <c r="A234" s="3">
        <v>233</v>
      </c>
      <c r="B234" s="3" t="s">
        <v>517</v>
      </c>
      <c r="C234" s="10" t="s">
        <v>518</v>
      </c>
      <c r="D234" s="19">
        <v>370.21636364829999</v>
      </c>
      <c r="E234" s="19">
        <v>53.128268332700003</v>
      </c>
      <c r="F234" s="19">
        <v>31.848048355899998</v>
      </c>
      <c r="G234" s="19">
        <v>3.5854669063999998</v>
      </c>
      <c r="H234" s="19">
        <v>0</v>
      </c>
      <c r="I234" s="19">
        <v>0.56999999999999995</v>
      </c>
      <c r="J234" s="35">
        <v>3.7</v>
      </c>
    </row>
    <row r="235" spans="1:10" x14ac:dyDescent="0.25">
      <c r="A235" s="3">
        <v>234</v>
      </c>
      <c r="B235" s="3" t="s">
        <v>519</v>
      </c>
      <c r="C235" s="10" t="s">
        <v>520</v>
      </c>
      <c r="D235" s="19">
        <v>368.54055934719992</v>
      </c>
      <c r="E235" s="19">
        <v>51.631128022499993</v>
      </c>
      <c r="F235" s="19">
        <v>30.440668100299998</v>
      </c>
      <c r="G235" s="19">
        <v>3.5193884559999993</v>
      </c>
      <c r="H235" s="19">
        <v>0</v>
      </c>
      <c r="I235" s="19">
        <v>0.56000000000000005</v>
      </c>
      <c r="J235" s="35">
        <v>3.6</v>
      </c>
    </row>
    <row r="236" spans="1:10" x14ac:dyDescent="0.25">
      <c r="A236" s="3">
        <v>235</v>
      </c>
      <c r="B236" s="10" t="s">
        <v>431</v>
      </c>
      <c r="C236" s="9" t="s">
        <v>432</v>
      </c>
      <c r="D236" s="20">
        <v>394.84989999999999</v>
      </c>
      <c r="E236" s="20">
        <v>58.834800000000001</v>
      </c>
      <c r="F236" s="20">
        <v>31.125</v>
      </c>
      <c r="G236" s="20">
        <v>3.1095999999999999</v>
      </c>
      <c r="H236" s="20">
        <v>0</v>
      </c>
      <c r="I236" s="20">
        <v>0.78</v>
      </c>
      <c r="J236" s="35">
        <v>6</v>
      </c>
    </row>
    <row r="237" spans="1:10" x14ac:dyDescent="0.25">
      <c r="A237" s="3">
        <v>236</v>
      </c>
      <c r="B237" s="3" t="s">
        <v>558</v>
      </c>
      <c r="C237" s="9" t="s">
        <v>561</v>
      </c>
      <c r="D237" s="19">
        <v>390.47291234800008</v>
      </c>
      <c r="E237" s="19">
        <v>54.455146561199996</v>
      </c>
      <c r="F237" s="19">
        <v>32.603779934999999</v>
      </c>
      <c r="G237" s="19">
        <v>3.6688299816000001</v>
      </c>
      <c r="H237" s="19">
        <v>0</v>
      </c>
      <c r="I237" s="22">
        <v>0.63</v>
      </c>
      <c r="J237" s="35">
        <v>4.3</v>
      </c>
    </row>
    <row r="238" spans="1:10" x14ac:dyDescent="0.25">
      <c r="A238" s="3">
        <v>237</v>
      </c>
      <c r="B238" s="3" t="s">
        <v>521</v>
      </c>
      <c r="C238" s="10" t="s">
        <v>522</v>
      </c>
      <c r="D238" s="19">
        <v>410.46424922930004</v>
      </c>
      <c r="E238" s="19">
        <v>54.936424329600001</v>
      </c>
      <c r="F238" s="19">
        <v>31.8656695319</v>
      </c>
      <c r="G238" s="19">
        <v>3.5905321125</v>
      </c>
      <c r="H238" s="19">
        <v>0</v>
      </c>
      <c r="I238" s="19">
        <v>0.69</v>
      </c>
      <c r="J238" s="35">
        <v>4.9000000000000004</v>
      </c>
    </row>
    <row r="239" spans="1:10" x14ac:dyDescent="0.25">
      <c r="A239" s="3">
        <v>238</v>
      </c>
      <c r="B239" s="3" t="s">
        <v>523</v>
      </c>
      <c r="C239" s="10" t="s">
        <v>524</v>
      </c>
      <c r="D239" s="19">
        <v>409.30479467140003</v>
      </c>
      <c r="E239" s="19">
        <v>54.228428334999997</v>
      </c>
      <c r="F239" s="19">
        <v>31.501916860200001</v>
      </c>
      <c r="G239" s="19">
        <v>3.4320857767999997</v>
      </c>
      <c r="H239" s="19">
        <v>0</v>
      </c>
      <c r="I239" s="19">
        <v>0.7</v>
      </c>
      <c r="J239" s="35">
        <v>5</v>
      </c>
    </row>
    <row r="240" spans="1:10" x14ac:dyDescent="0.25">
      <c r="A240" s="3">
        <v>239</v>
      </c>
      <c r="B240" s="3" t="s">
        <v>525</v>
      </c>
      <c r="C240" s="10" t="s">
        <v>526</v>
      </c>
      <c r="D240" s="19">
        <v>410.38642141460002</v>
      </c>
      <c r="E240" s="19">
        <v>55.044093296599996</v>
      </c>
      <c r="F240" s="19">
        <v>32.127213638199997</v>
      </c>
      <c r="G240" s="19">
        <v>3.5762597192000003</v>
      </c>
      <c r="H240" s="19">
        <v>0</v>
      </c>
      <c r="I240" s="19">
        <v>0.73</v>
      </c>
      <c r="J240" s="35">
        <v>5.4</v>
      </c>
    </row>
    <row r="241" spans="1:10" x14ac:dyDescent="0.25">
      <c r="A241" s="3">
        <v>240</v>
      </c>
      <c r="B241" s="10" t="s">
        <v>433</v>
      </c>
      <c r="C241" s="9" t="s">
        <v>434</v>
      </c>
      <c r="D241" s="20">
        <v>435.27050000000003</v>
      </c>
      <c r="E241" s="20">
        <v>60.2072</v>
      </c>
      <c r="F241" s="20">
        <v>31.142700000000001</v>
      </c>
      <c r="G241" s="20">
        <v>3.0114999999999998</v>
      </c>
      <c r="H241" s="20">
        <v>0</v>
      </c>
      <c r="I241" s="20">
        <v>0.78</v>
      </c>
      <c r="J241" s="35">
        <v>6</v>
      </c>
    </row>
    <row r="242" spans="1:10" x14ac:dyDescent="0.25">
      <c r="A242" s="3">
        <v>241</v>
      </c>
      <c r="B242" s="3" t="s">
        <v>527</v>
      </c>
      <c r="C242" s="10" t="s">
        <v>528</v>
      </c>
      <c r="D242" s="19">
        <v>430.20469929680002</v>
      </c>
      <c r="E242" s="19">
        <v>55.640011293899988</v>
      </c>
      <c r="F242" s="19">
        <v>31.747799832599995</v>
      </c>
      <c r="G242" s="19">
        <v>3.5789573372999999</v>
      </c>
      <c r="H242" s="19">
        <v>0</v>
      </c>
      <c r="I242" s="19">
        <v>0.76</v>
      </c>
      <c r="J242" s="35">
        <v>5.8</v>
      </c>
    </row>
    <row r="243" spans="1:10" x14ac:dyDescent="0.25">
      <c r="A243" s="3">
        <v>242</v>
      </c>
      <c r="B243" s="3" t="s">
        <v>529</v>
      </c>
      <c r="C243" s="10" t="s">
        <v>530</v>
      </c>
      <c r="D243" s="19">
        <v>430.4113745482</v>
      </c>
      <c r="E243" s="19">
        <v>55.863980271599999</v>
      </c>
      <c r="F243" s="19">
        <v>32.120047902000003</v>
      </c>
      <c r="G243" s="19">
        <v>3.7093694795999999</v>
      </c>
      <c r="H243" s="19">
        <v>0</v>
      </c>
      <c r="I243" s="19">
        <v>0.77</v>
      </c>
      <c r="J243" s="35">
        <v>5.9</v>
      </c>
    </row>
    <row r="244" spans="1:10" x14ac:dyDescent="0.25">
      <c r="A244" s="3">
        <v>243</v>
      </c>
      <c r="B244" s="3" t="s">
        <v>531</v>
      </c>
      <c r="C244" s="10" t="s">
        <v>532</v>
      </c>
      <c r="D244" s="19">
        <v>450.69699397620002</v>
      </c>
      <c r="E244" s="19">
        <v>56.770363604800004</v>
      </c>
      <c r="F244" s="19">
        <v>32.086353013099995</v>
      </c>
      <c r="G244" s="19">
        <v>3.5984646106000002</v>
      </c>
      <c r="H244" s="19">
        <v>0</v>
      </c>
      <c r="I244" s="19">
        <v>0.82</v>
      </c>
      <c r="J244" s="35">
        <v>6.6</v>
      </c>
    </row>
    <row r="245" spans="1:10" x14ac:dyDescent="0.25">
      <c r="A245" s="3">
        <v>244</v>
      </c>
      <c r="B245" s="3" t="s">
        <v>559</v>
      </c>
      <c r="C245" s="10" t="s">
        <v>560</v>
      </c>
      <c r="D245" s="19">
        <v>468.90879322929993</v>
      </c>
      <c r="E245" s="19">
        <v>56.709209339300003</v>
      </c>
      <c r="F245" s="19">
        <v>31.184165365400002</v>
      </c>
      <c r="G245" s="19">
        <v>3.3308900252</v>
      </c>
      <c r="H245" s="19">
        <v>0</v>
      </c>
      <c r="I245" s="19">
        <v>0.89</v>
      </c>
      <c r="J245" s="35">
        <v>7.8</v>
      </c>
    </row>
    <row r="246" spans="1:10" x14ac:dyDescent="0.25">
      <c r="A246" s="3">
        <v>245</v>
      </c>
      <c r="B246" s="3" t="s">
        <v>533</v>
      </c>
      <c r="C246" s="10" t="s">
        <v>534</v>
      </c>
      <c r="D246" s="19">
        <v>488.65563889410004</v>
      </c>
      <c r="E246" s="19">
        <v>57.417815817800005</v>
      </c>
      <c r="F246" s="19">
        <v>31.297462835499999</v>
      </c>
      <c r="G246" s="19">
        <v>3.4954662871000002</v>
      </c>
      <c r="H246" s="19">
        <v>0</v>
      </c>
      <c r="I246" s="19">
        <v>0.99</v>
      </c>
      <c r="J246" s="35">
        <v>9.6999999999999993</v>
      </c>
    </row>
    <row r="247" spans="1:10" x14ac:dyDescent="0.25">
      <c r="A247" s="3">
        <v>246</v>
      </c>
      <c r="B247" s="10" t="s">
        <v>435</v>
      </c>
      <c r="C247" s="9" t="s">
        <v>436</v>
      </c>
      <c r="D247" s="20">
        <v>157.35417327810001</v>
      </c>
      <c r="E247" s="20">
        <v>80.091644536099992</v>
      </c>
      <c r="F247" s="20">
        <v>39.7126345191</v>
      </c>
      <c r="G247" s="20">
        <v>4.6174973982000003</v>
      </c>
      <c r="H247" s="20">
        <v>0.13045664749999999</v>
      </c>
      <c r="I247" s="22">
        <v>0.2</v>
      </c>
      <c r="J247" s="35">
        <v>1.6</v>
      </c>
    </row>
    <row r="248" spans="1:10" x14ac:dyDescent="0.25">
      <c r="A248" s="3">
        <v>247</v>
      </c>
      <c r="B248" s="10" t="s">
        <v>437</v>
      </c>
      <c r="C248" s="9" t="s">
        <v>438</v>
      </c>
      <c r="D248" s="20">
        <v>177.93620472659998</v>
      </c>
      <c r="E248" s="20">
        <v>80.475202179299998</v>
      </c>
      <c r="F248" s="20">
        <v>42.281472054400005</v>
      </c>
      <c r="G248" s="20">
        <v>4.6372909664999993</v>
      </c>
      <c r="H248" s="20">
        <v>0.12249842229999999</v>
      </c>
      <c r="I248" s="20">
        <v>0.18</v>
      </c>
      <c r="J248" s="35">
        <v>1.5</v>
      </c>
    </row>
    <row r="249" spans="1:10" x14ac:dyDescent="0.25">
      <c r="A249" s="3">
        <v>248</v>
      </c>
      <c r="B249" s="10" t="s">
        <v>439</v>
      </c>
      <c r="C249" s="9" t="s">
        <v>440</v>
      </c>
      <c r="D249" s="20">
        <v>180.6823364606</v>
      </c>
      <c r="E249" s="20">
        <v>81.292017799200011</v>
      </c>
      <c r="F249" s="20">
        <v>33.354460286799998</v>
      </c>
      <c r="G249" s="20">
        <v>3.9756099342</v>
      </c>
      <c r="H249" s="20">
        <v>0.28893809300000001</v>
      </c>
      <c r="I249" s="20">
        <v>0.53</v>
      </c>
      <c r="J249" s="35">
        <v>3.4</v>
      </c>
    </row>
    <row r="250" spans="1:10" x14ac:dyDescent="0.25">
      <c r="A250" s="3">
        <v>249</v>
      </c>
      <c r="B250" s="10" t="s">
        <v>441</v>
      </c>
      <c r="C250" s="9" t="s">
        <v>442</v>
      </c>
      <c r="D250" s="20">
        <v>221.36118684930003</v>
      </c>
      <c r="E250" s="20">
        <v>81.238850862300012</v>
      </c>
      <c r="F250" s="20">
        <v>38.330028435400003</v>
      </c>
      <c r="G250" s="20">
        <v>3.9420425826000001</v>
      </c>
      <c r="H250" s="20">
        <v>0.247081312</v>
      </c>
      <c r="I250" s="20">
        <v>0.46</v>
      </c>
      <c r="J250" s="35">
        <v>2.9</v>
      </c>
    </row>
    <row r="251" spans="1:10" x14ac:dyDescent="0.25">
      <c r="A251" s="3">
        <v>250</v>
      </c>
      <c r="B251" s="10" t="s">
        <v>443</v>
      </c>
      <c r="C251" s="9" t="s">
        <v>444</v>
      </c>
      <c r="D251" s="20">
        <v>301.21696141579997</v>
      </c>
      <c r="E251" s="20">
        <v>82.917739177299993</v>
      </c>
      <c r="F251" s="20">
        <v>39.650527097000001</v>
      </c>
      <c r="G251" s="20">
        <v>4.1736226239999992</v>
      </c>
      <c r="H251" s="20">
        <v>0.25129076080000001</v>
      </c>
      <c r="I251" s="20">
        <v>0.66</v>
      </c>
      <c r="J251" s="35">
        <v>4.5999999999999996</v>
      </c>
    </row>
    <row r="252" spans="1:10" x14ac:dyDescent="0.25">
      <c r="A252" s="3">
        <v>251</v>
      </c>
      <c r="B252" s="3" t="s">
        <v>535</v>
      </c>
      <c r="C252" s="6" t="s">
        <v>536</v>
      </c>
      <c r="D252" s="19">
        <v>327.74092518680004</v>
      </c>
      <c r="E252" s="19">
        <v>92.35480820059999</v>
      </c>
      <c r="F252" s="19">
        <v>63.362400282300001</v>
      </c>
      <c r="G252" s="19">
        <v>7.2173834159000005</v>
      </c>
      <c r="H252" s="19">
        <v>0</v>
      </c>
      <c r="I252" s="19">
        <v>0.65</v>
      </c>
      <c r="J252" s="35">
        <v>4.5</v>
      </c>
    </row>
    <row r="253" spans="1:10" x14ac:dyDescent="0.25">
      <c r="A253" s="3">
        <v>252</v>
      </c>
      <c r="B253" s="3" t="s">
        <v>537</v>
      </c>
      <c r="C253" s="6" t="s">
        <v>538</v>
      </c>
      <c r="D253" s="19">
        <v>349.25015195479995</v>
      </c>
      <c r="E253" s="19">
        <v>93.571136988099994</v>
      </c>
      <c r="F253" s="19">
        <v>64.144537200300007</v>
      </c>
      <c r="G253" s="19">
        <v>7.3425648683000002</v>
      </c>
      <c r="H253" s="19">
        <v>0</v>
      </c>
      <c r="I253" s="19">
        <v>0.71</v>
      </c>
      <c r="J253" s="35">
        <v>5.0999999999999996</v>
      </c>
    </row>
    <row r="254" spans="1:10" x14ac:dyDescent="0.25">
      <c r="A254" s="3">
        <v>253</v>
      </c>
      <c r="B254" s="3" t="s">
        <v>578</v>
      </c>
      <c r="C254" s="6" t="s">
        <v>580</v>
      </c>
      <c r="D254" s="19">
        <v>406.3069489934</v>
      </c>
      <c r="E254" s="19">
        <v>93.361002043799999</v>
      </c>
      <c r="F254" s="19">
        <v>62.921471145399998</v>
      </c>
      <c r="G254" s="19">
        <v>6.923251328600001</v>
      </c>
      <c r="H254" s="19">
        <v>0</v>
      </c>
      <c r="I254" s="19">
        <v>0.85</v>
      </c>
      <c r="J254" s="35">
        <v>7</v>
      </c>
    </row>
    <row r="255" spans="1:10" x14ac:dyDescent="0.25">
      <c r="A255" s="3">
        <v>254</v>
      </c>
      <c r="B255" s="10" t="s">
        <v>445</v>
      </c>
      <c r="C255" s="3" t="s">
        <v>446</v>
      </c>
      <c r="D255" s="20">
        <v>430.98270542880005</v>
      </c>
      <c r="E255" s="20">
        <v>97.861361508900004</v>
      </c>
      <c r="F255" s="20">
        <v>67.047478234799996</v>
      </c>
      <c r="G255" s="20">
        <v>6.5075264516999987</v>
      </c>
      <c r="H255" s="20">
        <v>0</v>
      </c>
      <c r="I255" s="22">
        <v>0.9</v>
      </c>
      <c r="J255" s="35">
        <v>7.9</v>
      </c>
    </row>
    <row r="256" spans="1:10" x14ac:dyDescent="0.25">
      <c r="A256" s="3">
        <v>255</v>
      </c>
      <c r="B256" s="3" t="s">
        <v>579</v>
      </c>
      <c r="C256" s="10" t="s">
        <v>581</v>
      </c>
      <c r="D256" s="19">
        <v>428.74578752320002</v>
      </c>
      <c r="E256" s="19">
        <v>89.658740247799997</v>
      </c>
      <c r="F256" s="19">
        <v>60.878373476300006</v>
      </c>
      <c r="G256" s="19">
        <v>6.7173301386000004</v>
      </c>
      <c r="H256" s="19">
        <v>0</v>
      </c>
      <c r="I256" s="19">
        <v>0.99</v>
      </c>
      <c r="J256" s="35">
        <v>9.8000000000000007</v>
      </c>
    </row>
    <row r="257" spans="1:10" x14ac:dyDescent="0.25">
      <c r="A257" s="3">
        <v>256</v>
      </c>
      <c r="B257" s="3" t="s">
        <v>539</v>
      </c>
      <c r="C257" s="10" t="s">
        <v>540</v>
      </c>
      <c r="D257" s="19">
        <v>461.8796009900999</v>
      </c>
      <c r="E257" s="19">
        <v>99.619788387899973</v>
      </c>
      <c r="F257" s="19">
        <v>65.959160547900026</v>
      </c>
      <c r="G257" s="19">
        <v>7.5042018961999997</v>
      </c>
      <c r="H257" s="19">
        <v>0</v>
      </c>
      <c r="I257" s="19">
        <v>1.07</v>
      </c>
      <c r="J257" s="35">
        <v>11.8</v>
      </c>
    </row>
    <row r="258" spans="1:10" x14ac:dyDescent="0.25">
      <c r="A258" s="3">
        <v>257</v>
      </c>
      <c r="B258" s="3" t="s">
        <v>541</v>
      </c>
      <c r="C258" s="10" t="s">
        <v>542</v>
      </c>
      <c r="D258" s="19">
        <v>503.81051567270003</v>
      </c>
      <c r="E258" s="19">
        <v>97.095413374100005</v>
      </c>
      <c r="F258" s="19">
        <v>65.700728590400004</v>
      </c>
      <c r="G258" s="19">
        <v>7.3786289614000005</v>
      </c>
      <c r="H258" s="19">
        <v>0</v>
      </c>
      <c r="I258" s="19">
        <v>1.1100000000000001</v>
      </c>
      <c r="J258" s="35">
        <v>12.8</v>
      </c>
    </row>
    <row r="259" spans="1:10" x14ac:dyDescent="0.25">
      <c r="A259" s="3">
        <v>258</v>
      </c>
      <c r="B259" s="3" t="s">
        <v>543</v>
      </c>
      <c r="C259" s="10" t="s">
        <v>544</v>
      </c>
      <c r="D259" s="21">
        <v>490.5048206173999</v>
      </c>
      <c r="E259" s="21">
        <v>96.245540522099986</v>
      </c>
      <c r="F259" s="21">
        <v>61.641455610099996</v>
      </c>
      <c r="G259" s="21">
        <v>7.0802074016000009</v>
      </c>
      <c r="H259" s="21">
        <v>0</v>
      </c>
      <c r="I259" s="22">
        <v>1.06</v>
      </c>
      <c r="J259" s="35">
        <v>11.4</v>
      </c>
    </row>
    <row r="260" spans="1:10" x14ac:dyDescent="0.25">
      <c r="A260" s="3">
        <v>259</v>
      </c>
      <c r="B260" s="3" t="s">
        <v>576</v>
      </c>
      <c r="C260" s="10" t="s">
        <v>577</v>
      </c>
      <c r="D260" s="19">
        <v>564.67425580300005</v>
      </c>
      <c r="E260" s="19">
        <v>96.572422745199987</v>
      </c>
      <c r="F260" s="19">
        <v>62.064157591299995</v>
      </c>
      <c r="G260" s="19">
        <v>6.4799210908999996</v>
      </c>
      <c r="H260" s="19">
        <v>0</v>
      </c>
      <c r="I260" s="19">
        <v>1.29</v>
      </c>
      <c r="J260" s="35">
        <v>19.5</v>
      </c>
    </row>
    <row r="261" spans="1:10" x14ac:dyDescent="0.25">
      <c r="A261" s="3">
        <v>260</v>
      </c>
      <c r="B261" s="3" t="s">
        <v>508</v>
      </c>
      <c r="C261" s="3" t="s">
        <v>547</v>
      </c>
      <c r="D261" s="21">
        <v>320.80238902459996</v>
      </c>
      <c r="E261" s="21">
        <v>118.84532901089999</v>
      </c>
      <c r="F261" s="21">
        <v>62.495755140300005</v>
      </c>
      <c r="G261" s="21">
        <v>8.1416206786000007</v>
      </c>
      <c r="H261" s="21">
        <v>3.7085443900000008E-2</v>
      </c>
      <c r="I261" s="22">
        <v>0.89</v>
      </c>
      <c r="J261" s="35">
        <v>7.8</v>
      </c>
    </row>
    <row r="262" spans="1:10" x14ac:dyDescent="0.25">
      <c r="A262" s="3">
        <v>261</v>
      </c>
      <c r="B262" s="10" t="s">
        <v>447</v>
      </c>
      <c r="C262" s="3" t="s">
        <v>448</v>
      </c>
      <c r="D262" s="20">
        <v>380.11972022430001</v>
      </c>
      <c r="E262" s="20">
        <v>121.079942676</v>
      </c>
      <c r="F262" s="20">
        <v>62.38625605379999</v>
      </c>
      <c r="G262" s="20">
        <v>6.6575783129000001</v>
      </c>
      <c r="H262" s="20">
        <v>4.8544456599999987E-2</v>
      </c>
      <c r="I262" s="20">
        <v>0.94</v>
      </c>
      <c r="J262" s="35">
        <v>8.6999999999999993</v>
      </c>
    </row>
    <row r="263" spans="1:10" x14ac:dyDescent="0.25">
      <c r="A263" s="3">
        <v>262</v>
      </c>
      <c r="B263" s="3" t="s">
        <v>545</v>
      </c>
      <c r="C263" s="3" t="s">
        <v>546</v>
      </c>
      <c r="D263" s="19">
        <v>493.78786316349994</v>
      </c>
      <c r="E263" s="19">
        <v>120.61812155929999</v>
      </c>
      <c r="F263" s="19">
        <v>61.035061611099998</v>
      </c>
      <c r="G263" s="19">
        <v>7.4030754572999999</v>
      </c>
      <c r="H263" s="19">
        <v>5.0188426700000004E-2</v>
      </c>
      <c r="I263" s="19">
        <v>1.1499999999999999</v>
      </c>
      <c r="J263" s="35">
        <v>14</v>
      </c>
    </row>
    <row r="264" spans="1:10" x14ac:dyDescent="0.25">
      <c r="A264" s="3">
        <v>263</v>
      </c>
      <c r="B264" s="13" t="s">
        <v>449</v>
      </c>
      <c r="C264" s="13" t="s">
        <v>450</v>
      </c>
      <c r="D264" s="20">
        <v>621.38340588040001</v>
      </c>
      <c r="E264" s="20">
        <v>133.22732287790004</v>
      </c>
      <c r="F264" s="20">
        <v>64.568249734000005</v>
      </c>
      <c r="G264" s="20">
        <v>6.9961123683999995</v>
      </c>
      <c r="H264" s="20">
        <v>5.9531814700000005E-2</v>
      </c>
      <c r="I264" s="20">
        <v>1.29</v>
      </c>
      <c r="J264" s="35">
        <v>19.7</v>
      </c>
    </row>
    <row r="265" spans="1:10" x14ac:dyDescent="0.25">
      <c r="A265" s="3">
        <v>264</v>
      </c>
      <c r="B265" s="3" t="s">
        <v>548</v>
      </c>
      <c r="C265" s="10" t="s">
        <v>549</v>
      </c>
      <c r="D265" s="19">
        <v>373.74338738230011</v>
      </c>
      <c r="E265" s="19">
        <v>113.0457898646</v>
      </c>
      <c r="F265" s="19">
        <v>63.053023437999997</v>
      </c>
      <c r="G265" s="19">
        <v>7.4876611724000011</v>
      </c>
      <c r="H265" s="19">
        <v>2.6369347700000004E-2</v>
      </c>
      <c r="I265" s="19">
        <v>1.22</v>
      </c>
      <c r="J265" s="35">
        <v>16.600000000000001</v>
      </c>
    </row>
    <row r="266" spans="1:10" x14ac:dyDescent="0.25">
      <c r="A266" s="3">
        <v>265</v>
      </c>
      <c r="B266" s="3" t="s">
        <v>550</v>
      </c>
      <c r="C266" s="10" t="s">
        <v>551</v>
      </c>
      <c r="D266" s="19">
        <v>435.93027448290002</v>
      </c>
      <c r="E266" s="19">
        <v>115.79561696159999</v>
      </c>
      <c r="F266" s="19">
        <v>63.320109715299985</v>
      </c>
      <c r="G266" s="19">
        <v>7.6022789245999993</v>
      </c>
      <c r="H266" s="19">
        <v>3.0270512100000001E-2</v>
      </c>
      <c r="I266" s="19">
        <v>1.1200000000000001</v>
      </c>
      <c r="J266" s="35">
        <v>13.2</v>
      </c>
    </row>
    <row r="267" spans="1:10" x14ac:dyDescent="0.25">
      <c r="A267" s="3">
        <v>266</v>
      </c>
      <c r="B267" s="3" t="s">
        <v>552</v>
      </c>
      <c r="C267" s="10" t="s">
        <v>553</v>
      </c>
      <c r="D267" s="19">
        <v>496.55919358099999</v>
      </c>
      <c r="E267" s="19">
        <v>119.86512886809999</v>
      </c>
      <c r="F267" s="19">
        <v>64.647230465599989</v>
      </c>
      <c r="G267" s="19">
        <v>7.5785724115999997</v>
      </c>
      <c r="H267" s="19">
        <v>3.1318141100000002E-2</v>
      </c>
      <c r="I267" s="22">
        <v>1.24</v>
      </c>
      <c r="J267" s="35">
        <v>17.399999999999999</v>
      </c>
    </row>
    <row r="268" spans="1:10" x14ac:dyDescent="0.25">
      <c r="A268" s="3">
        <v>267</v>
      </c>
      <c r="B268" s="3" t="s">
        <v>554</v>
      </c>
      <c r="C268" s="10" t="s">
        <v>555</v>
      </c>
      <c r="D268" s="19">
        <v>549.56956156500007</v>
      </c>
      <c r="E268" s="19">
        <v>120.9376208382</v>
      </c>
      <c r="F268" s="19">
        <v>67.320353951900003</v>
      </c>
      <c r="G268" s="19">
        <v>7.6108801914000006</v>
      </c>
      <c r="H268" s="19">
        <v>2.6333958699999997E-2</v>
      </c>
      <c r="I268" s="19">
        <v>1.3</v>
      </c>
      <c r="J268" s="35">
        <v>19.899999999999999</v>
      </c>
    </row>
    <row r="269" spans="1:10" x14ac:dyDescent="0.25">
      <c r="A269" s="3">
        <v>268</v>
      </c>
      <c r="B269" s="31" t="s">
        <v>556</v>
      </c>
      <c r="C269" s="10" t="s">
        <v>557</v>
      </c>
      <c r="D269" s="19">
        <v>645.88234533170009</v>
      </c>
      <c r="E269" s="19">
        <v>120.45720564780001</v>
      </c>
      <c r="F269" s="19">
        <v>61.16515486849999</v>
      </c>
      <c r="G269" s="19">
        <v>6.6501789986000004</v>
      </c>
      <c r="H269" s="19">
        <v>2.8659617200000001E-2</v>
      </c>
      <c r="I269" s="19">
        <v>1.63</v>
      </c>
      <c r="J269" s="35">
        <v>42.5</v>
      </c>
    </row>
    <row r="270" spans="1:10" x14ac:dyDescent="0.25">
      <c r="A270" s="3">
        <v>269</v>
      </c>
      <c r="B270" s="6" t="s">
        <v>451</v>
      </c>
      <c r="C270" s="4" t="s">
        <v>452</v>
      </c>
      <c r="D270" s="20">
        <v>175.3329</v>
      </c>
      <c r="E270" s="20">
        <v>50.961799999999997</v>
      </c>
      <c r="F270" s="20">
        <v>19.528300000000002</v>
      </c>
      <c r="G270" s="20">
        <v>2.2725</v>
      </c>
      <c r="H270" s="20">
        <v>1E-4</v>
      </c>
      <c r="I270" s="22">
        <v>0.28000000000000003</v>
      </c>
      <c r="J270" s="35">
        <v>1.9</v>
      </c>
    </row>
    <row r="271" spans="1:10" x14ac:dyDescent="0.25">
      <c r="A271" s="3">
        <v>270</v>
      </c>
      <c r="B271" s="10" t="s">
        <v>453</v>
      </c>
      <c r="C271" s="9" t="s">
        <v>454</v>
      </c>
      <c r="D271" s="20">
        <v>180.77260496400001</v>
      </c>
      <c r="E271" s="20">
        <v>51.514196763000001</v>
      </c>
      <c r="F271" s="20">
        <v>12.541262055000001</v>
      </c>
      <c r="G271" s="20">
        <v>1.643982032</v>
      </c>
      <c r="H271" s="20">
        <v>1.2022409999999999E-3</v>
      </c>
      <c r="I271" s="20">
        <v>0.4</v>
      </c>
      <c r="J271" s="35">
        <v>2.5</v>
      </c>
    </row>
    <row r="272" spans="1:10" x14ac:dyDescent="0.25">
      <c r="A272" s="3">
        <v>271</v>
      </c>
      <c r="B272" s="6" t="s">
        <v>455</v>
      </c>
      <c r="C272" s="4" t="s">
        <v>456</v>
      </c>
      <c r="D272" s="20">
        <v>195.71559890489999</v>
      </c>
      <c r="E272" s="20">
        <v>50.704039016300001</v>
      </c>
      <c r="F272" s="20">
        <v>20.855085727799999</v>
      </c>
      <c r="G272" s="20">
        <v>2.1939884663</v>
      </c>
      <c r="H272" s="20">
        <v>7.01977E-5</v>
      </c>
      <c r="I272" s="20">
        <v>0.3</v>
      </c>
      <c r="J272" s="35">
        <v>2</v>
      </c>
    </row>
    <row r="273" spans="1:10" x14ac:dyDescent="0.25">
      <c r="A273" s="3">
        <v>272</v>
      </c>
      <c r="B273" s="10" t="s">
        <v>457</v>
      </c>
      <c r="C273" s="9" t="s">
        <v>458</v>
      </c>
      <c r="D273" s="20">
        <v>264.7867015539</v>
      </c>
      <c r="E273" s="20">
        <v>82.948024585100015</v>
      </c>
      <c r="F273" s="20">
        <v>40.504972175299997</v>
      </c>
      <c r="G273" s="20">
        <v>4.3446807325000005</v>
      </c>
      <c r="H273" s="20">
        <v>1.7720636200000001E-2</v>
      </c>
      <c r="I273" s="20">
        <v>1.03</v>
      </c>
      <c r="J273" s="35">
        <v>10.6</v>
      </c>
    </row>
    <row r="274" spans="1:10" x14ac:dyDescent="0.25">
      <c r="A274" s="3">
        <v>273</v>
      </c>
      <c r="B274" s="4" t="s">
        <v>459</v>
      </c>
      <c r="C274" s="4" t="s">
        <v>460</v>
      </c>
      <c r="D274" s="20">
        <v>151.6815</v>
      </c>
      <c r="E274" s="20">
        <v>14.050800000000001</v>
      </c>
      <c r="F274" s="20">
        <v>0.11070000000000001</v>
      </c>
      <c r="G274" s="20">
        <v>0</v>
      </c>
      <c r="H274" s="20">
        <v>0</v>
      </c>
      <c r="I274" s="20">
        <v>-0.64</v>
      </c>
      <c r="J274" s="35">
        <v>0.23</v>
      </c>
    </row>
    <row r="275" spans="1:10" x14ac:dyDescent="0.25">
      <c r="A275" s="3">
        <v>274</v>
      </c>
      <c r="B275" s="3" t="s">
        <v>461</v>
      </c>
      <c r="C275" s="15" t="s">
        <v>462</v>
      </c>
      <c r="D275" s="20">
        <v>187.59804345379999</v>
      </c>
      <c r="E275" s="20">
        <v>13.5964699098</v>
      </c>
      <c r="F275" s="20">
        <v>0.22678097520000001</v>
      </c>
      <c r="G275" s="20">
        <v>0</v>
      </c>
      <c r="H275" s="20">
        <v>0</v>
      </c>
      <c r="I275" s="20">
        <v>-0.41</v>
      </c>
      <c r="J275" s="35">
        <v>0.39</v>
      </c>
    </row>
    <row r="276" spans="1:10" x14ac:dyDescent="0.25">
      <c r="A276" s="3">
        <v>275</v>
      </c>
      <c r="B276" s="3" t="s">
        <v>463</v>
      </c>
      <c r="C276" s="3" t="s">
        <v>464</v>
      </c>
      <c r="D276" s="20">
        <v>227.08733050500004</v>
      </c>
      <c r="E276" s="20">
        <v>50.645597940600005</v>
      </c>
      <c r="F276" s="20">
        <v>34.616387197999998</v>
      </c>
      <c r="G276" s="20">
        <v>4.3774378656999993</v>
      </c>
      <c r="H276" s="20">
        <v>0</v>
      </c>
      <c r="I276" s="20">
        <v>-0.28999999999999998</v>
      </c>
      <c r="J276" s="35">
        <v>0.51</v>
      </c>
    </row>
    <row r="277" spans="1:10" x14ac:dyDescent="0.25">
      <c r="A277" s="3">
        <v>276</v>
      </c>
      <c r="B277" s="3" t="s">
        <v>465</v>
      </c>
      <c r="C277" s="3" t="s">
        <v>466</v>
      </c>
      <c r="D277" s="20">
        <v>213.21510000000001</v>
      </c>
      <c r="E277" s="20">
        <v>13.074999999999999</v>
      </c>
      <c r="F277" s="20">
        <v>-0.33550000000000002</v>
      </c>
      <c r="G277" s="20">
        <v>0</v>
      </c>
      <c r="H277" s="20">
        <v>0</v>
      </c>
      <c r="I277" s="20">
        <v>-0.22</v>
      </c>
      <c r="J277" s="35">
        <v>0.6</v>
      </c>
    </row>
    <row r="278" spans="1:10" x14ac:dyDescent="0.25">
      <c r="A278" s="3">
        <v>277</v>
      </c>
      <c r="B278" s="3" t="s">
        <v>499</v>
      </c>
      <c r="C278" s="10" t="s">
        <v>500</v>
      </c>
      <c r="D278" s="21">
        <v>263.55040055850003</v>
      </c>
      <c r="E278" s="21">
        <v>52.501597361700007</v>
      </c>
      <c r="F278" s="21">
        <v>23.288066650800001</v>
      </c>
      <c r="G278" s="21">
        <v>2.9740746180000004</v>
      </c>
      <c r="H278" s="21">
        <v>0</v>
      </c>
      <c r="I278" s="22">
        <v>-0.03</v>
      </c>
      <c r="J278" s="35">
        <v>0.93</v>
      </c>
    </row>
    <row r="279" spans="1:10" x14ac:dyDescent="0.25">
      <c r="A279" s="3">
        <v>278</v>
      </c>
      <c r="B279" s="4" t="s">
        <v>467</v>
      </c>
      <c r="C279" s="4" t="s">
        <v>468</v>
      </c>
      <c r="D279" s="20">
        <v>227.60692839040001</v>
      </c>
      <c r="E279" s="20">
        <v>30.205236658</v>
      </c>
      <c r="F279" s="20">
        <v>7.5867893675999998</v>
      </c>
      <c r="G279" s="20">
        <v>0.88204157640000003</v>
      </c>
      <c r="H279" s="20">
        <v>0</v>
      </c>
      <c r="I279" s="22">
        <v>-0.31</v>
      </c>
      <c r="J279" s="35">
        <v>0.49</v>
      </c>
    </row>
    <row r="280" spans="1:10" x14ac:dyDescent="0.25">
      <c r="A280" s="3">
        <v>279</v>
      </c>
      <c r="B280" s="13" t="s">
        <v>469</v>
      </c>
      <c r="C280" s="13" t="s">
        <v>470</v>
      </c>
      <c r="D280" s="20">
        <v>299.67046017320001</v>
      </c>
      <c r="E280" s="20">
        <v>40.272687956700004</v>
      </c>
      <c r="F280" s="20">
        <v>9.9131191204999993</v>
      </c>
      <c r="G280" s="20">
        <v>1.1010582292</v>
      </c>
      <c r="H280" s="20">
        <v>0</v>
      </c>
      <c r="I280" s="20">
        <v>-7.0000000000000007E-2</v>
      </c>
      <c r="J280" s="35">
        <v>0.85</v>
      </c>
    </row>
    <row r="281" spans="1:10" x14ac:dyDescent="0.25">
      <c r="A281" s="3">
        <v>280</v>
      </c>
      <c r="B281" s="11" t="s">
        <v>471</v>
      </c>
      <c r="C281" s="4" t="s">
        <v>472</v>
      </c>
      <c r="D281" s="20">
        <v>323.26312002820003</v>
      </c>
      <c r="E281" s="20">
        <v>56.242729688799997</v>
      </c>
      <c r="F281" s="20">
        <v>19.153731809300002</v>
      </c>
      <c r="G281" s="20">
        <v>2.1911361301000003</v>
      </c>
      <c r="H281" s="20">
        <v>0</v>
      </c>
      <c r="I281" s="20">
        <v>0.32</v>
      </c>
      <c r="J281" s="35">
        <v>2.1</v>
      </c>
    </row>
    <row r="282" spans="1:10" x14ac:dyDescent="0.25">
      <c r="A282" s="3">
        <v>281</v>
      </c>
      <c r="B282" s="3" t="s">
        <v>493</v>
      </c>
      <c r="C282" s="10" t="s">
        <v>501</v>
      </c>
      <c r="D282" s="19">
        <v>304.76209999999998</v>
      </c>
      <c r="E282" s="19">
        <v>37.627099999999999</v>
      </c>
      <c r="F282" s="19">
        <v>8.2932000000000006</v>
      </c>
      <c r="G282" s="19">
        <v>0.81210000000000004</v>
      </c>
      <c r="H282" s="19">
        <v>0</v>
      </c>
      <c r="I282" s="19">
        <v>0.04</v>
      </c>
      <c r="J282" s="35">
        <v>1.1000000000000001</v>
      </c>
    </row>
    <row r="283" spans="1:10" x14ac:dyDescent="0.25">
      <c r="A283" s="3">
        <v>282</v>
      </c>
      <c r="B283" s="3" t="s">
        <v>494</v>
      </c>
      <c r="C283" s="10" t="s">
        <v>502</v>
      </c>
      <c r="D283" s="19">
        <v>331.41730000000001</v>
      </c>
      <c r="E283" s="19">
        <v>32.731000000000002</v>
      </c>
      <c r="F283" s="19">
        <v>2.8645</v>
      </c>
      <c r="G283" s="19">
        <v>0.14130000000000001</v>
      </c>
      <c r="H283" s="19">
        <v>0</v>
      </c>
      <c r="I283" s="19">
        <v>0.11</v>
      </c>
      <c r="J283" s="35">
        <v>1.3</v>
      </c>
    </row>
    <row r="284" spans="1:10" x14ac:dyDescent="0.25">
      <c r="A284" s="3">
        <v>283</v>
      </c>
      <c r="B284" s="3" t="s">
        <v>495</v>
      </c>
      <c r="C284" s="10" t="s">
        <v>503</v>
      </c>
      <c r="D284" s="19">
        <v>371.27949999999998</v>
      </c>
      <c r="E284" s="19">
        <v>41.401699999999998</v>
      </c>
      <c r="F284" s="19">
        <v>4.2708000000000004</v>
      </c>
      <c r="G284" s="19">
        <v>0.47849999999999998</v>
      </c>
      <c r="H284" s="19">
        <v>0</v>
      </c>
      <c r="I284" s="19">
        <v>0.15</v>
      </c>
      <c r="J284" s="35">
        <v>1.4</v>
      </c>
    </row>
    <row r="285" spans="1:10" x14ac:dyDescent="0.25">
      <c r="A285" s="3">
        <v>284</v>
      </c>
      <c r="B285" s="13" t="s">
        <v>473</v>
      </c>
      <c r="C285" s="13" t="s">
        <v>474</v>
      </c>
      <c r="D285" s="20">
        <v>373.5125223284</v>
      </c>
      <c r="E285" s="20">
        <v>47.780371031400001</v>
      </c>
      <c r="F285" s="20">
        <v>10.1973394199</v>
      </c>
      <c r="G285" s="20">
        <v>1.2346242007000001</v>
      </c>
      <c r="H285" s="20">
        <v>0</v>
      </c>
      <c r="I285" s="20">
        <v>0.11</v>
      </c>
      <c r="J285" s="35">
        <v>1.3</v>
      </c>
    </row>
    <row r="286" spans="1:10" x14ac:dyDescent="0.25">
      <c r="A286" s="3">
        <v>285</v>
      </c>
      <c r="B286" s="11" t="s">
        <v>475</v>
      </c>
      <c r="C286" s="4" t="s">
        <v>476</v>
      </c>
      <c r="D286" s="20">
        <v>384.2257956374001</v>
      </c>
      <c r="E286" s="20">
        <v>59.091265504800006</v>
      </c>
      <c r="F286" s="20">
        <v>16.016531291700002</v>
      </c>
      <c r="G286" s="20">
        <v>1.609781978</v>
      </c>
      <c r="H286" s="20">
        <v>0</v>
      </c>
      <c r="I286" s="22">
        <v>0.57999999999999996</v>
      </c>
      <c r="J286" s="35">
        <v>3.8</v>
      </c>
    </row>
    <row r="287" spans="1:10" x14ac:dyDescent="0.25">
      <c r="A287" s="3">
        <v>286</v>
      </c>
      <c r="B287" s="3" t="s">
        <v>582</v>
      </c>
      <c r="C287" s="3" t="s">
        <v>504</v>
      </c>
      <c r="D287" s="19">
        <v>384.52330000000001</v>
      </c>
      <c r="E287" s="19">
        <v>40.655999999999999</v>
      </c>
      <c r="F287" s="19">
        <v>4.8815999999999997</v>
      </c>
      <c r="G287" s="19">
        <v>0.58909999999999996</v>
      </c>
      <c r="H287" s="19">
        <v>0</v>
      </c>
      <c r="I287" s="19">
        <v>0.23</v>
      </c>
      <c r="J287" s="35">
        <v>1.7</v>
      </c>
    </row>
    <row r="288" spans="1:10" x14ac:dyDescent="0.25">
      <c r="A288" s="3">
        <v>287</v>
      </c>
      <c r="B288" s="3" t="s">
        <v>481</v>
      </c>
      <c r="C288" s="3" t="s">
        <v>482</v>
      </c>
      <c r="D288" s="20">
        <v>352.98481929849999</v>
      </c>
      <c r="E288" s="20">
        <v>56.795198193100006</v>
      </c>
      <c r="F288" s="20">
        <v>33.1692775733</v>
      </c>
      <c r="G288" s="20">
        <v>3.7412888001000004</v>
      </c>
      <c r="H288" s="20">
        <v>0</v>
      </c>
      <c r="I288" s="20">
        <v>0.11</v>
      </c>
      <c r="J288" s="35">
        <v>1.3</v>
      </c>
    </row>
    <row r="289" spans="1:10" x14ac:dyDescent="0.25">
      <c r="A289" s="3">
        <v>288</v>
      </c>
      <c r="B289" s="13" t="s">
        <v>477</v>
      </c>
      <c r="C289" s="13" t="s">
        <v>478</v>
      </c>
      <c r="D289" s="20">
        <v>444.92917691420001</v>
      </c>
      <c r="E289" s="20">
        <v>57.074726870100001</v>
      </c>
      <c r="F289" s="20">
        <v>12.362745944399999</v>
      </c>
      <c r="G289" s="20">
        <v>1.4757817514000002</v>
      </c>
      <c r="H289" s="20">
        <v>0</v>
      </c>
      <c r="I289" s="20">
        <v>0.26</v>
      </c>
      <c r="J289" s="35">
        <v>1.8</v>
      </c>
    </row>
    <row r="290" spans="1:10" x14ac:dyDescent="0.25">
      <c r="A290" s="3">
        <v>289</v>
      </c>
      <c r="B290" s="32" t="s">
        <v>479</v>
      </c>
      <c r="C290" s="13" t="s">
        <v>480</v>
      </c>
      <c r="D290" s="20">
        <v>525.53420000000006</v>
      </c>
      <c r="E290" s="20">
        <v>68.879199999999997</v>
      </c>
      <c r="F290" s="20">
        <v>14.359400000000001</v>
      </c>
      <c r="G290" s="20">
        <v>1.5625</v>
      </c>
      <c r="H290" s="20">
        <v>0</v>
      </c>
      <c r="I290" s="20">
        <v>0.38</v>
      </c>
      <c r="J290" s="35">
        <v>2.4</v>
      </c>
    </row>
    <row r="291" spans="1:10" x14ac:dyDescent="0.25">
      <c r="A291" s="3">
        <v>290</v>
      </c>
      <c r="B291" s="3" t="s">
        <v>498</v>
      </c>
      <c r="C291" s="10" t="s">
        <v>507</v>
      </c>
      <c r="D291" s="19">
        <v>511.88150000000002</v>
      </c>
      <c r="E291" s="19">
        <v>81.268299999999996</v>
      </c>
      <c r="F291" s="19">
        <v>26.843599999999999</v>
      </c>
      <c r="G291" s="19">
        <v>3.2048999999999999</v>
      </c>
      <c r="H291" s="19">
        <v>0</v>
      </c>
      <c r="I291" s="19">
        <v>1.03</v>
      </c>
      <c r="J291" s="35">
        <v>10.8</v>
      </c>
    </row>
    <row r="292" spans="1:10" x14ac:dyDescent="0.25">
      <c r="A292" s="3">
        <v>291</v>
      </c>
      <c r="B292" s="3" t="s">
        <v>583</v>
      </c>
      <c r="C292" s="10" t="s">
        <v>505</v>
      </c>
      <c r="D292" s="19">
        <v>516.36350000000004</v>
      </c>
      <c r="E292" s="19">
        <v>56.982599999999998</v>
      </c>
      <c r="F292" s="19">
        <v>8.2668999999999997</v>
      </c>
      <c r="G292" s="19">
        <v>0.87990000000000002</v>
      </c>
      <c r="H292" s="19">
        <v>0</v>
      </c>
      <c r="I292" s="19">
        <v>0.54</v>
      </c>
      <c r="J292" s="35">
        <v>3.5</v>
      </c>
    </row>
    <row r="293" spans="1:10" x14ac:dyDescent="0.25">
      <c r="A293" s="3">
        <v>292</v>
      </c>
      <c r="B293" s="3" t="s">
        <v>584</v>
      </c>
      <c r="C293" s="10" t="s">
        <v>496</v>
      </c>
      <c r="D293" s="19">
        <v>550.99580000000003</v>
      </c>
      <c r="E293" s="19">
        <v>57.527900000000002</v>
      </c>
      <c r="F293" s="19">
        <v>7.0946999999999996</v>
      </c>
      <c r="G293" s="19">
        <v>0.63500000000000001</v>
      </c>
      <c r="H293" s="19">
        <v>0</v>
      </c>
      <c r="I293" s="19">
        <v>0.68</v>
      </c>
      <c r="J293" s="35">
        <v>4.8</v>
      </c>
    </row>
    <row r="294" spans="1:10" x14ac:dyDescent="0.25">
      <c r="A294" s="3">
        <v>293</v>
      </c>
      <c r="B294" s="3" t="s">
        <v>585</v>
      </c>
      <c r="C294" s="10" t="s">
        <v>506</v>
      </c>
      <c r="D294" s="19">
        <v>603.94960000000003</v>
      </c>
      <c r="E294" s="19">
        <v>70.565100000000001</v>
      </c>
      <c r="F294" s="19">
        <v>9.1241000000000003</v>
      </c>
      <c r="G294" s="19">
        <v>0.75629999999999997</v>
      </c>
      <c r="H294" s="19">
        <v>0</v>
      </c>
      <c r="I294" s="19">
        <v>0.64</v>
      </c>
      <c r="J294" s="35">
        <v>4.4000000000000004</v>
      </c>
    </row>
    <row r="295" spans="1:10" x14ac:dyDescent="0.25">
      <c r="A295" s="3">
        <v>294</v>
      </c>
      <c r="B295" s="3" t="s">
        <v>586</v>
      </c>
      <c r="C295" s="10" t="s">
        <v>497</v>
      </c>
      <c r="D295" s="19">
        <v>629.20090000000005</v>
      </c>
      <c r="E295" s="19">
        <v>61.965299999999999</v>
      </c>
      <c r="F295" s="19">
        <v>6.1749999999999998</v>
      </c>
      <c r="G295" s="19">
        <v>0.58279999999999998</v>
      </c>
      <c r="H295" s="19">
        <v>0</v>
      </c>
      <c r="I295" s="19">
        <v>0.8</v>
      </c>
      <c r="J295" s="35">
        <v>6.3</v>
      </c>
    </row>
    <row r="296" spans="1:10" x14ac:dyDescent="0.25">
      <c r="A296" s="3">
        <v>295</v>
      </c>
      <c r="B296" s="10" t="s">
        <v>483</v>
      </c>
      <c r="C296" s="9" t="s">
        <v>484</v>
      </c>
      <c r="D296" s="20">
        <v>125.67586973719999</v>
      </c>
      <c r="E296" s="20">
        <v>53.765386857300001</v>
      </c>
      <c r="F296" s="20">
        <v>26.997137703699998</v>
      </c>
      <c r="G296" s="20">
        <v>2.5510903409000001</v>
      </c>
      <c r="H296" s="20">
        <v>1.032969E-4</v>
      </c>
      <c r="I296" s="20">
        <v>-0.24</v>
      </c>
      <c r="J296" s="35">
        <v>0.57999999999999996</v>
      </c>
    </row>
    <row r="297" spans="1:10" x14ac:dyDescent="0.25">
      <c r="A297" s="3">
        <v>296</v>
      </c>
      <c r="B297" s="6" t="s">
        <v>485</v>
      </c>
      <c r="C297" s="6" t="s">
        <v>486</v>
      </c>
      <c r="D297" s="20">
        <v>129.51990000000001</v>
      </c>
      <c r="E297" s="20">
        <v>66.471199999999996</v>
      </c>
      <c r="F297" s="20">
        <v>27.478100000000001</v>
      </c>
      <c r="G297" s="20">
        <v>2.6941999999999999</v>
      </c>
      <c r="H297" s="20">
        <v>5.2299999999999999E-2</v>
      </c>
      <c r="I297" s="20">
        <v>0.4</v>
      </c>
      <c r="J297" s="35">
        <v>2.5</v>
      </c>
    </row>
    <row r="298" spans="1:10" x14ac:dyDescent="0.25">
      <c r="A298" s="3">
        <v>297</v>
      </c>
      <c r="B298" s="6" t="s">
        <v>487</v>
      </c>
      <c r="C298" s="4" t="s">
        <v>488</v>
      </c>
      <c r="D298" s="20">
        <v>167.65749916279998</v>
      </c>
      <c r="E298" s="20">
        <v>55.331600893599997</v>
      </c>
      <c r="F298" s="20">
        <v>32.9761344108</v>
      </c>
      <c r="G298" s="20">
        <v>2.9547956669999995</v>
      </c>
      <c r="H298" s="20">
        <v>0</v>
      </c>
      <c r="I298" s="20">
        <v>-0.12</v>
      </c>
      <c r="J298" s="35">
        <v>0.76</v>
      </c>
    </row>
    <row r="299" spans="1:10" x14ac:dyDescent="0.25">
      <c r="A299" s="3">
        <v>298</v>
      </c>
      <c r="B299" s="13" t="s">
        <v>489</v>
      </c>
      <c r="C299" s="13" t="s">
        <v>490</v>
      </c>
      <c r="D299" s="20">
        <v>206.64869899250002</v>
      </c>
      <c r="E299" s="20">
        <v>54.138312085999999</v>
      </c>
      <c r="F299" s="20">
        <v>32.610701184600003</v>
      </c>
      <c r="G299" s="20">
        <v>2.9808765147000003</v>
      </c>
      <c r="H299" s="20">
        <v>0</v>
      </c>
      <c r="I299" s="20">
        <v>0.08</v>
      </c>
      <c r="J299" s="35">
        <v>1.2</v>
      </c>
    </row>
    <row r="300" spans="1:10" x14ac:dyDescent="0.25">
      <c r="A300" s="3">
        <v>299</v>
      </c>
      <c r="B300" s="3" t="s">
        <v>509</v>
      </c>
      <c r="C300" s="6" t="s">
        <v>510</v>
      </c>
      <c r="D300" s="21">
        <v>325.79718166209994</v>
      </c>
      <c r="E300" s="21">
        <v>58.403041119999997</v>
      </c>
      <c r="F300" s="21">
        <v>32.635576067000002</v>
      </c>
      <c r="G300" s="21">
        <v>3.4871495222000002</v>
      </c>
      <c r="H300" s="21">
        <v>0</v>
      </c>
      <c r="I300" s="15">
        <v>0.56000000000000005</v>
      </c>
      <c r="J300" s="35">
        <v>3.6</v>
      </c>
    </row>
    <row r="301" spans="1:10" x14ac:dyDescent="0.25">
      <c r="A301" s="3">
        <v>300</v>
      </c>
      <c r="B301" s="6" t="s">
        <v>491</v>
      </c>
      <c r="C301" s="6" t="s">
        <v>492</v>
      </c>
      <c r="D301" s="20">
        <v>139.19600320149999</v>
      </c>
      <c r="E301" s="20">
        <v>65.86168380609999</v>
      </c>
      <c r="F301" s="20">
        <v>28.634173500999999</v>
      </c>
      <c r="G301" s="20">
        <v>3.1542075482</v>
      </c>
      <c r="H301" s="20">
        <v>4.0826296099999999E-2</v>
      </c>
      <c r="I301" s="20">
        <v>-0.08</v>
      </c>
      <c r="J301" s="35">
        <v>0.84</v>
      </c>
    </row>
  </sheetData>
  <sortState xmlns:xlrd2="http://schemas.microsoft.com/office/spreadsheetml/2017/richdata2" ref="A2:V301">
    <sortCondition ref="A2:A301"/>
  </sortState>
  <pageMargins left="0.75" right="0.75" top="1" bottom="1" header="0.5" footer="0.5"/>
  <pageSetup paperSize="9" orientation="portrait" horizontalDpi="4294967292" verticalDpi="4294967292"/>
  <headerFooter>
    <oddFooter>&amp;C_x000D_&amp;1#&amp;"Calibri"&amp;14&amp;K0000FF Classification: Public Information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J26"/>
  <sheetViews>
    <sheetView zoomScale="150" zoomScaleNormal="150" workbookViewId="0">
      <selection activeCell="J1" sqref="J1"/>
    </sheetView>
  </sheetViews>
  <sheetFormatPr defaultColWidth="10.875" defaultRowHeight="15.75" x14ac:dyDescent="0.25"/>
  <cols>
    <col min="2" max="2" width="35.625" bestFit="1" customWidth="1"/>
    <col min="3" max="3" width="57.625" style="5" customWidth="1"/>
    <col min="9" max="9" width="10.875" style="30"/>
  </cols>
  <sheetData>
    <row r="1" spans="1:10" x14ac:dyDescent="0.25">
      <c r="A1" s="1" t="s">
        <v>0</v>
      </c>
      <c r="B1" s="2" t="s">
        <v>1</v>
      </c>
      <c r="C1" s="2" t="s">
        <v>2</v>
      </c>
      <c r="D1" s="37" t="s">
        <v>603</v>
      </c>
      <c r="E1" s="37" t="s">
        <v>604</v>
      </c>
      <c r="F1" s="37" t="s">
        <v>605</v>
      </c>
      <c r="G1" s="37" t="s">
        <v>606</v>
      </c>
      <c r="H1" s="37" t="s">
        <v>607</v>
      </c>
      <c r="I1" s="38" t="s">
        <v>652</v>
      </c>
      <c r="J1" s="41" t="s">
        <v>651</v>
      </c>
    </row>
    <row r="2" spans="1:10" x14ac:dyDescent="0.25">
      <c r="A2" s="26">
        <v>1</v>
      </c>
      <c r="B2" s="27" t="s">
        <v>608</v>
      </c>
      <c r="C2" s="4" t="s">
        <v>609</v>
      </c>
      <c r="D2" s="28">
        <v>319.72527452400004</v>
      </c>
      <c r="E2" s="28">
        <v>15.360063672399999</v>
      </c>
      <c r="F2" s="28">
        <v>0.1944620098</v>
      </c>
      <c r="G2" s="28">
        <v>0</v>
      </c>
      <c r="H2" s="28">
        <v>0</v>
      </c>
      <c r="I2" s="40">
        <v>0.3</v>
      </c>
      <c r="J2" s="39">
        <v>2</v>
      </c>
    </row>
    <row r="3" spans="1:10" x14ac:dyDescent="0.25">
      <c r="A3" s="26">
        <v>2</v>
      </c>
      <c r="B3" s="27" t="s">
        <v>610</v>
      </c>
      <c r="C3" s="9" t="s">
        <v>611</v>
      </c>
      <c r="D3" s="20">
        <v>371.96570078409991</v>
      </c>
      <c r="E3" s="20">
        <v>35.548153755099996</v>
      </c>
      <c r="F3" s="20">
        <v>21.797158318300003</v>
      </c>
      <c r="G3" s="20">
        <v>2.6819534752000003</v>
      </c>
      <c r="H3" s="20">
        <v>0</v>
      </c>
      <c r="I3" s="40">
        <v>0.48</v>
      </c>
      <c r="J3" s="39">
        <v>3</v>
      </c>
    </row>
    <row r="4" spans="1:10" x14ac:dyDescent="0.25">
      <c r="A4" s="26">
        <v>3</v>
      </c>
      <c r="B4" s="29" t="s">
        <v>612</v>
      </c>
      <c r="C4" s="4" t="s">
        <v>613</v>
      </c>
      <c r="D4" s="28">
        <v>455.15900746940002</v>
      </c>
      <c r="E4" s="28">
        <v>59.198919964099993</v>
      </c>
      <c r="F4" s="28">
        <v>33.251554583400008</v>
      </c>
      <c r="G4" s="28">
        <v>3.0677704879999999</v>
      </c>
      <c r="H4" s="28">
        <v>0</v>
      </c>
      <c r="I4" s="40">
        <v>0.62</v>
      </c>
      <c r="J4" s="39">
        <v>4.2</v>
      </c>
    </row>
    <row r="5" spans="1:10" x14ac:dyDescent="0.25">
      <c r="A5" s="26">
        <v>4</v>
      </c>
      <c r="B5" s="27" t="s">
        <v>614</v>
      </c>
      <c r="C5" s="4" t="s">
        <v>615</v>
      </c>
      <c r="D5" s="28">
        <v>403.67563441509998</v>
      </c>
      <c r="E5" s="28">
        <v>54.856814116499997</v>
      </c>
      <c r="F5" s="28">
        <v>31.8874097538</v>
      </c>
      <c r="G5" s="28">
        <v>3.0409420048000002</v>
      </c>
      <c r="H5" s="28">
        <v>0</v>
      </c>
      <c r="I5" s="40">
        <v>0.63</v>
      </c>
      <c r="J5" s="39">
        <v>4.3</v>
      </c>
    </row>
    <row r="6" spans="1:10" x14ac:dyDescent="0.25">
      <c r="A6" s="26">
        <v>5</v>
      </c>
      <c r="B6" s="27" t="s">
        <v>616</v>
      </c>
      <c r="C6" s="4" t="s">
        <v>617</v>
      </c>
      <c r="D6" s="28">
        <v>304.65560253679996</v>
      </c>
      <c r="E6" s="28">
        <v>89.132154037800007</v>
      </c>
      <c r="F6" s="28">
        <v>60.582695030800004</v>
      </c>
      <c r="G6" s="28">
        <v>5.936246917100001</v>
      </c>
      <c r="H6" s="28">
        <v>0</v>
      </c>
      <c r="I6" s="40">
        <v>0.54</v>
      </c>
      <c r="J6" s="39">
        <v>3.5</v>
      </c>
    </row>
    <row r="7" spans="1:10" x14ac:dyDescent="0.25">
      <c r="A7" s="26">
        <v>6</v>
      </c>
      <c r="B7" s="27" t="s">
        <v>618</v>
      </c>
      <c r="C7" s="4" t="s">
        <v>619</v>
      </c>
      <c r="D7" s="28">
        <v>279.763358364</v>
      </c>
      <c r="E7" s="28">
        <v>13.7060361968</v>
      </c>
      <c r="F7" s="28">
        <v>0.16040360080000002</v>
      </c>
      <c r="G7" s="28">
        <v>0</v>
      </c>
      <c r="H7" s="28">
        <v>0</v>
      </c>
      <c r="I7" s="40">
        <v>0.13</v>
      </c>
      <c r="J7" s="39">
        <v>1.4</v>
      </c>
    </row>
    <row r="8" spans="1:10" x14ac:dyDescent="0.25">
      <c r="A8" s="26">
        <v>7</v>
      </c>
      <c r="B8" s="27" t="s">
        <v>620</v>
      </c>
      <c r="C8" s="4" t="s">
        <v>621</v>
      </c>
      <c r="D8" s="28">
        <v>453.90186480440002</v>
      </c>
      <c r="E8" s="28">
        <v>85.11638621580002</v>
      </c>
      <c r="F8" s="28">
        <v>56.904171223299997</v>
      </c>
      <c r="G8" s="28">
        <v>5.0700637628000012</v>
      </c>
      <c r="H8" s="28">
        <v>0</v>
      </c>
      <c r="I8" s="40">
        <v>1.04</v>
      </c>
      <c r="J8" s="39">
        <v>11</v>
      </c>
    </row>
    <row r="9" spans="1:10" x14ac:dyDescent="0.25">
      <c r="A9" s="26">
        <v>8</v>
      </c>
      <c r="B9" s="27" t="s">
        <v>622</v>
      </c>
      <c r="C9" s="4" t="s">
        <v>623</v>
      </c>
      <c r="D9" s="28">
        <v>389.96392294590004</v>
      </c>
      <c r="E9" s="28">
        <v>56.940670914900004</v>
      </c>
      <c r="F9" s="28">
        <v>32.9250840606</v>
      </c>
      <c r="G9" s="28">
        <v>3.1552150747000001</v>
      </c>
      <c r="H9" s="28">
        <v>0</v>
      </c>
      <c r="I9" s="40">
        <v>0.63</v>
      </c>
      <c r="J9" s="39">
        <v>4.3</v>
      </c>
    </row>
    <row r="10" spans="1:10" x14ac:dyDescent="0.25">
      <c r="A10" s="26">
        <v>9</v>
      </c>
      <c r="B10" s="27" t="s">
        <v>624</v>
      </c>
      <c r="C10" s="4" t="s">
        <v>540</v>
      </c>
      <c r="D10" s="28">
        <v>459.07167408489988</v>
      </c>
      <c r="E10" s="28">
        <v>97.281068595199997</v>
      </c>
      <c r="F10" s="28">
        <v>64.285935697999989</v>
      </c>
      <c r="G10" s="28">
        <v>6.0588868134999991</v>
      </c>
      <c r="H10" s="28">
        <v>0</v>
      </c>
      <c r="I10" s="40">
        <v>0.99</v>
      </c>
      <c r="J10" s="39">
        <v>9.8000000000000007</v>
      </c>
    </row>
    <row r="11" spans="1:10" x14ac:dyDescent="0.25">
      <c r="A11" s="26">
        <v>10</v>
      </c>
      <c r="B11" s="27" t="s">
        <v>625</v>
      </c>
      <c r="C11" s="11" t="s">
        <v>626</v>
      </c>
      <c r="D11" s="28">
        <v>321.75002559279994</v>
      </c>
      <c r="E11" s="28">
        <v>16.747586693700001</v>
      </c>
      <c r="F11" s="28">
        <v>-5.2703056400000003E-2</v>
      </c>
      <c r="G11" s="28">
        <v>0</v>
      </c>
      <c r="H11" s="28">
        <v>0</v>
      </c>
      <c r="I11" s="40">
        <v>0.36</v>
      </c>
      <c r="J11" s="39">
        <v>2.2999999999999998</v>
      </c>
    </row>
    <row r="12" spans="1:10" x14ac:dyDescent="0.25">
      <c r="A12" s="26">
        <v>11</v>
      </c>
      <c r="B12" s="27" t="s">
        <v>627</v>
      </c>
      <c r="C12" s="4" t="s">
        <v>628</v>
      </c>
      <c r="D12" s="28">
        <v>242.976</v>
      </c>
      <c r="E12" s="28">
        <v>14.8681</v>
      </c>
      <c r="F12" s="28">
        <v>-5.1900000000000002E-2</v>
      </c>
      <c r="G12" s="28">
        <v>0</v>
      </c>
      <c r="H12" s="28">
        <v>0</v>
      </c>
      <c r="I12" s="40">
        <v>0</v>
      </c>
      <c r="J12" s="39">
        <v>1</v>
      </c>
    </row>
    <row r="13" spans="1:10" x14ac:dyDescent="0.25">
      <c r="A13" s="26">
        <v>12</v>
      </c>
      <c r="B13" s="27" t="s">
        <v>629</v>
      </c>
      <c r="C13" s="4" t="s">
        <v>630</v>
      </c>
      <c r="D13" s="28">
        <v>303.6700110928</v>
      </c>
      <c r="E13" s="28">
        <v>18.461451323199999</v>
      </c>
      <c r="F13" s="28">
        <v>-9.1427960000000003E-2</v>
      </c>
      <c r="G13" s="28">
        <v>0</v>
      </c>
      <c r="H13" s="28">
        <v>0</v>
      </c>
      <c r="I13" s="40">
        <v>0.51</v>
      </c>
      <c r="J13" s="39">
        <v>3.2</v>
      </c>
    </row>
    <row r="14" spans="1:10" x14ac:dyDescent="0.25">
      <c r="A14" s="26">
        <v>13</v>
      </c>
      <c r="B14" s="27" t="s">
        <v>631</v>
      </c>
      <c r="C14" s="4" t="s">
        <v>632</v>
      </c>
      <c r="D14" s="28">
        <v>407.78447264579995</v>
      </c>
      <c r="E14" s="28">
        <v>63.310224675399994</v>
      </c>
      <c r="F14" s="28">
        <v>34.259343606999998</v>
      </c>
      <c r="G14" s="28">
        <v>3.0527932833999998</v>
      </c>
      <c r="H14" s="28">
        <v>0</v>
      </c>
      <c r="I14" s="40">
        <v>0.79</v>
      </c>
      <c r="J14" s="39">
        <v>6.1</v>
      </c>
    </row>
    <row r="15" spans="1:10" x14ac:dyDescent="0.25">
      <c r="A15" s="26">
        <v>14</v>
      </c>
      <c r="B15" s="27" t="s">
        <v>633</v>
      </c>
      <c r="C15" s="4" t="s">
        <v>634</v>
      </c>
      <c r="D15" s="28">
        <v>447.92506240590001</v>
      </c>
      <c r="E15" s="28">
        <v>94.690586811000003</v>
      </c>
      <c r="F15" s="28">
        <v>57.170053904900001</v>
      </c>
      <c r="G15" s="28">
        <v>5.2715475585000009</v>
      </c>
      <c r="H15" s="28">
        <v>0</v>
      </c>
      <c r="I15" s="40">
        <v>0.9</v>
      </c>
      <c r="J15" s="39">
        <v>7.9</v>
      </c>
    </row>
    <row r="16" spans="1:10" x14ac:dyDescent="0.25">
      <c r="A16" s="26">
        <v>15</v>
      </c>
      <c r="B16" s="27" t="s">
        <v>635</v>
      </c>
      <c r="C16" s="4" t="s">
        <v>636</v>
      </c>
      <c r="D16" s="28">
        <v>339.86448154879997</v>
      </c>
      <c r="E16" s="28">
        <v>49.581946325600001</v>
      </c>
      <c r="F16" s="28">
        <v>29.833932712000003</v>
      </c>
      <c r="G16" s="28">
        <v>2.9011537544000001</v>
      </c>
      <c r="H16" s="28">
        <v>0</v>
      </c>
      <c r="I16" s="40">
        <v>0.53</v>
      </c>
      <c r="J16" s="39">
        <v>3.4</v>
      </c>
    </row>
    <row r="17" spans="1:10" x14ac:dyDescent="0.25">
      <c r="A17" s="26">
        <v>16</v>
      </c>
      <c r="B17" s="27" t="s">
        <v>637</v>
      </c>
      <c r="C17" s="4" t="s">
        <v>638</v>
      </c>
      <c r="D17" s="28">
        <v>445.02361473949998</v>
      </c>
      <c r="E17" s="28">
        <v>56.7872656706</v>
      </c>
      <c r="F17" s="28">
        <v>32.192039058500001</v>
      </c>
      <c r="G17" s="28">
        <v>3.0650330537999997</v>
      </c>
      <c r="H17" s="28">
        <v>0</v>
      </c>
      <c r="I17" s="40">
        <v>0.79</v>
      </c>
      <c r="J17" s="39">
        <v>6.1</v>
      </c>
    </row>
    <row r="18" spans="1:10" x14ac:dyDescent="0.25">
      <c r="A18" s="26">
        <v>17</v>
      </c>
      <c r="B18" s="27" t="s">
        <v>639</v>
      </c>
      <c r="C18" s="4" t="s">
        <v>640</v>
      </c>
      <c r="D18" s="28">
        <v>437.01486744459999</v>
      </c>
      <c r="E18" s="28">
        <v>88.290689482400012</v>
      </c>
      <c r="F18" s="28">
        <v>55.871365008300018</v>
      </c>
      <c r="G18" s="28">
        <v>5.5397232466999995</v>
      </c>
      <c r="H18" s="28">
        <v>0</v>
      </c>
      <c r="I18" s="40">
        <v>0.87</v>
      </c>
      <c r="J18" s="39">
        <v>7.4</v>
      </c>
    </row>
    <row r="19" spans="1:10" x14ac:dyDescent="0.25">
      <c r="A19" s="26">
        <v>18</v>
      </c>
      <c r="B19" s="27" t="s">
        <v>641</v>
      </c>
      <c r="C19" s="11" t="s">
        <v>642</v>
      </c>
      <c r="D19" s="28">
        <v>405.00270148689998</v>
      </c>
      <c r="E19" s="28">
        <v>57.635511586799993</v>
      </c>
      <c r="F19" s="28">
        <v>32.859815813200001</v>
      </c>
      <c r="G19" s="28">
        <v>3.2204263031</v>
      </c>
      <c r="H19" s="28">
        <v>0</v>
      </c>
      <c r="I19" s="40">
        <v>0.73</v>
      </c>
      <c r="J19" s="39">
        <v>5.4</v>
      </c>
    </row>
    <row r="20" spans="1:10" x14ac:dyDescent="0.25">
      <c r="A20" s="26">
        <v>19</v>
      </c>
      <c r="B20" s="27" t="s">
        <v>643</v>
      </c>
      <c r="C20" s="11" t="s">
        <v>644</v>
      </c>
      <c r="D20" s="28">
        <v>392.96501807480001</v>
      </c>
      <c r="E20" s="28">
        <v>55.82947468990001</v>
      </c>
      <c r="F20" s="28">
        <v>32.308556401099999</v>
      </c>
      <c r="G20" s="28">
        <v>3.1461584585</v>
      </c>
      <c r="H20" s="28">
        <v>0</v>
      </c>
      <c r="I20" s="40">
        <v>0.64</v>
      </c>
      <c r="J20" s="39">
        <v>4.4000000000000004</v>
      </c>
    </row>
    <row r="21" spans="1:10" x14ac:dyDescent="0.25">
      <c r="A21" s="26">
        <v>20</v>
      </c>
      <c r="B21" s="27" t="s">
        <v>645</v>
      </c>
      <c r="C21" s="11" t="s">
        <v>646</v>
      </c>
      <c r="D21" s="28">
        <v>491.18695976160001</v>
      </c>
      <c r="E21" s="28">
        <v>94.641176643399987</v>
      </c>
      <c r="F21" s="28">
        <v>59.757493411700004</v>
      </c>
      <c r="G21" s="28">
        <v>5.1883294332999998</v>
      </c>
      <c r="H21" s="28">
        <v>0</v>
      </c>
      <c r="I21" s="40">
        <v>1.03</v>
      </c>
      <c r="J21" s="39">
        <v>10.6</v>
      </c>
    </row>
    <row r="22" spans="1:10" x14ac:dyDescent="0.25">
      <c r="A22" s="26">
        <v>21</v>
      </c>
      <c r="B22" s="27" t="s">
        <v>647</v>
      </c>
      <c r="C22" s="4" t="s">
        <v>648</v>
      </c>
      <c r="D22" s="28">
        <v>466.56377581240002</v>
      </c>
      <c r="E22" s="28">
        <v>58.588499648399996</v>
      </c>
      <c r="F22" s="28">
        <v>31.505817323700001</v>
      </c>
      <c r="G22" s="28">
        <v>3.0138634555000001</v>
      </c>
      <c r="H22" s="28">
        <v>0</v>
      </c>
      <c r="I22" s="40">
        <v>0.93</v>
      </c>
      <c r="J22" s="39">
        <v>8.5</v>
      </c>
    </row>
    <row r="23" spans="1:10" x14ac:dyDescent="0.25">
      <c r="A23" s="26">
        <v>23</v>
      </c>
      <c r="B23" s="27" t="s">
        <v>649</v>
      </c>
      <c r="C23" s="11" t="s">
        <v>650</v>
      </c>
      <c r="D23" s="28">
        <v>437.35173892099999</v>
      </c>
      <c r="E23" s="28">
        <v>65.670600972199992</v>
      </c>
      <c r="F23" s="28">
        <v>17.658457471399998</v>
      </c>
      <c r="G23" s="28">
        <v>1.8546491458999999</v>
      </c>
      <c r="H23" s="28">
        <v>0</v>
      </c>
      <c r="I23" s="40">
        <v>0.84</v>
      </c>
      <c r="J23" s="39">
        <v>6.9</v>
      </c>
    </row>
    <row r="24" spans="1:10" x14ac:dyDescent="0.25">
      <c r="A24" s="3"/>
      <c r="B24" s="3"/>
      <c r="C24" s="6"/>
      <c r="D24" s="8"/>
      <c r="E24" s="5"/>
      <c r="F24" s="8"/>
      <c r="G24" s="23"/>
    </row>
    <row r="25" spans="1:10" x14ac:dyDescent="0.25">
      <c r="A25" s="3"/>
      <c r="B25" s="13"/>
      <c r="C25" s="13"/>
      <c r="D25" s="12"/>
      <c r="E25" s="5"/>
      <c r="F25" s="8"/>
      <c r="G25" s="23"/>
    </row>
    <row r="26" spans="1:10" x14ac:dyDescent="0.25">
      <c r="A26" s="3"/>
      <c r="B26" s="10"/>
      <c r="C26" s="9"/>
      <c r="D26" s="8"/>
      <c r="E26" s="5"/>
      <c r="F26" s="8"/>
      <c r="G26" s="24"/>
    </row>
  </sheetData>
  <pageMargins left="0.75" right="0.75" top="1" bottom="1" header="0.5" footer="0.5"/>
  <pageSetup paperSize="9" orientation="portrait" horizontalDpi="4294967292" verticalDpi="4294967292"/>
  <headerFooter>
    <oddFooter>&amp;C_x000D_&amp;1#&amp;"Calibri"&amp;14&amp;K0000FF Classification: Public Information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8C98-64DB-43EA-8355-80D3E120AB2D}">
  <sheetPr filterMode="1"/>
  <dimension ref="A1:F301"/>
  <sheetViews>
    <sheetView topLeftCell="A34" workbookViewId="0">
      <selection sqref="A1:F74"/>
    </sheetView>
  </sheetViews>
  <sheetFormatPr defaultRowHeight="15.75" x14ac:dyDescent="0.25"/>
  <cols>
    <col min="1" max="1" width="83.375" bestFit="1" customWidth="1"/>
    <col min="2" max="2" width="67.625" style="42" bestFit="1" customWidth="1"/>
    <col min="3" max="3" width="11.5" style="36" bestFit="1" customWidth="1"/>
    <col min="4" max="4" width="15.125" bestFit="1" customWidth="1"/>
    <col min="5" max="5" width="9.875" bestFit="1" customWidth="1"/>
  </cols>
  <sheetData>
    <row r="1" spans="1:6" x14ac:dyDescent="0.25">
      <c r="A1" s="54" t="s">
        <v>657</v>
      </c>
      <c r="B1" s="54" t="s">
        <v>653</v>
      </c>
      <c r="C1" s="55" t="s">
        <v>651</v>
      </c>
      <c r="D1" s="54" t="s">
        <v>655</v>
      </c>
      <c r="E1" s="54" t="s">
        <v>656</v>
      </c>
      <c r="F1" s="54" t="s">
        <v>654</v>
      </c>
    </row>
    <row r="2" spans="1:6" x14ac:dyDescent="0.25">
      <c r="A2" s="43" t="s">
        <v>3</v>
      </c>
      <c r="B2" s="43" t="s">
        <v>4</v>
      </c>
      <c r="C2" s="56">
        <v>0.23</v>
      </c>
      <c r="D2" s="54" t="b">
        <f>NOT(ISNUMBER(SEARCH("O",B2)))</f>
        <v>1</v>
      </c>
      <c r="E2" s="54" t="b">
        <f>NOT(ISNUMBER(SEARCH("S",B2)))</f>
        <v>1</v>
      </c>
      <c r="F2" s="54" t="b">
        <f>AND(D2,E2)</f>
        <v>1</v>
      </c>
    </row>
    <row r="3" spans="1:6" x14ac:dyDescent="0.25">
      <c r="A3" s="44" t="s">
        <v>5</v>
      </c>
      <c r="B3" s="44" t="s">
        <v>6</v>
      </c>
      <c r="C3" s="56">
        <v>0.29599999999999999</v>
      </c>
      <c r="D3" s="54" t="b">
        <f t="shared" ref="D3:D66" si="0">NOT(ISNUMBER(SEARCH("O",B3)))</f>
        <v>1</v>
      </c>
      <c r="E3" s="54" t="b">
        <f t="shared" ref="E3:E66" si="1">NOT(ISNUMBER(SEARCH("S",B3)))</f>
        <v>1</v>
      </c>
      <c r="F3" s="54" t="b">
        <f t="shared" ref="F3:F66" si="2">AND(D3,E3)</f>
        <v>1</v>
      </c>
    </row>
    <row r="4" spans="1:6" x14ac:dyDescent="0.25">
      <c r="A4" s="43" t="s">
        <v>7</v>
      </c>
      <c r="B4" s="43" t="s">
        <v>8</v>
      </c>
      <c r="C4" s="56">
        <v>0.39</v>
      </c>
      <c r="D4" s="54" t="b">
        <f t="shared" si="0"/>
        <v>1</v>
      </c>
      <c r="E4" s="54" t="b">
        <f t="shared" si="1"/>
        <v>1</v>
      </c>
      <c r="F4" s="54" t="b">
        <f t="shared" si="2"/>
        <v>1</v>
      </c>
    </row>
    <row r="5" spans="1:6" x14ac:dyDescent="0.25">
      <c r="A5" s="43" t="s">
        <v>9</v>
      </c>
      <c r="B5" s="43" t="s">
        <v>10</v>
      </c>
      <c r="C5" s="56">
        <v>0.51</v>
      </c>
      <c r="D5" s="54" t="b">
        <f t="shared" si="0"/>
        <v>1</v>
      </c>
      <c r="E5" s="54" t="b">
        <f t="shared" si="1"/>
        <v>1</v>
      </c>
      <c r="F5" s="54" t="b">
        <f t="shared" si="2"/>
        <v>1</v>
      </c>
    </row>
    <row r="6" spans="1:6" x14ac:dyDescent="0.25">
      <c r="A6" s="43" t="s">
        <v>11</v>
      </c>
      <c r="B6" s="43" t="s">
        <v>12</v>
      </c>
      <c r="C6" s="56">
        <v>0.66</v>
      </c>
      <c r="D6" s="54" t="b">
        <f t="shared" si="0"/>
        <v>1</v>
      </c>
      <c r="E6" s="54" t="b">
        <f t="shared" si="1"/>
        <v>1</v>
      </c>
      <c r="F6" s="54" t="b">
        <f t="shared" si="2"/>
        <v>1</v>
      </c>
    </row>
    <row r="7" spans="1:6" x14ac:dyDescent="0.25">
      <c r="A7" s="43" t="s">
        <v>13</v>
      </c>
      <c r="B7" s="43" t="s">
        <v>14</v>
      </c>
      <c r="C7" s="56">
        <v>0.86</v>
      </c>
      <c r="D7" s="54" t="b">
        <f t="shared" si="0"/>
        <v>1</v>
      </c>
      <c r="E7" s="54" t="b">
        <f t="shared" si="1"/>
        <v>1</v>
      </c>
      <c r="F7" s="54" t="b">
        <f t="shared" si="2"/>
        <v>1</v>
      </c>
    </row>
    <row r="8" spans="1:6" x14ac:dyDescent="0.25">
      <c r="A8" s="43" t="s">
        <v>15</v>
      </c>
      <c r="B8" s="43" t="s">
        <v>16</v>
      </c>
      <c r="C8" s="56">
        <v>1.1000000000000001</v>
      </c>
      <c r="D8" s="54" t="b">
        <f t="shared" si="0"/>
        <v>1</v>
      </c>
      <c r="E8" s="54" t="b">
        <f t="shared" si="1"/>
        <v>1</v>
      </c>
      <c r="F8" s="54" t="b">
        <f t="shared" si="2"/>
        <v>1</v>
      </c>
    </row>
    <row r="9" spans="1:6" x14ac:dyDescent="0.25">
      <c r="A9" s="43" t="s">
        <v>17</v>
      </c>
      <c r="B9" s="43" t="s">
        <v>18</v>
      </c>
      <c r="C9" s="56">
        <v>1.7</v>
      </c>
      <c r="D9" s="54" t="b">
        <f t="shared" si="0"/>
        <v>1</v>
      </c>
      <c r="E9" s="54" t="b">
        <f t="shared" si="1"/>
        <v>1</v>
      </c>
      <c r="F9" s="54" t="b">
        <f t="shared" si="2"/>
        <v>1</v>
      </c>
    </row>
    <row r="10" spans="1:6" x14ac:dyDescent="0.25">
      <c r="A10" s="43" t="s">
        <v>19</v>
      </c>
      <c r="B10" s="45" t="s">
        <v>20</v>
      </c>
      <c r="C10" s="56">
        <v>2.54</v>
      </c>
      <c r="D10" s="54" t="b">
        <f t="shared" si="0"/>
        <v>1</v>
      </c>
      <c r="E10" s="54" t="b">
        <f t="shared" si="1"/>
        <v>1</v>
      </c>
      <c r="F10" s="54" t="b">
        <f t="shared" si="2"/>
        <v>1</v>
      </c>
    </row>
    <row r="11" spans="1:6" x14ac:dyDescent="0.25">
      <c r="A11" s="43" t="s">
        <v>21</v>
      </c>
      <c r="B11" s="45" t="s">
        <v>22</v>
      </c>
      <c r="C11" s="56">
        <v>3.06</v>
      </c>
      <c r="D11" s="54" t="b">
        <f t="shared" si="0"/>
        <v>1</v>
      </c>
      <c r="E11" s="54" t="b">
        <f t="shared" si="1"/>
        <v>1</v>
      </c>
      <c r="F11" s="54" t="b">
        <f t="shared" si="2"/>
        <v>1</v>
      </c>
    </row>
    <row r="12" spans="1:6" x14ac:dyDescent="0.25">
      <c r="A12" s="43" t="s">
        <v>23</v>
      </c>
      <c r="B12" s="45" t="s">
        <v>24</v>
      </c>
      <c r="C12" s="56">
        <v>3.61</v>
      </c>
      <c r="D12" s="54" t="b">
        <f t="shared" si="0"/>
        <v>1</v>
      </c>
      <c r="E12" s="54" t="b">
        <f t="shared" si="1"/>
        <v>1</v>
      </c>
      <c r="F12" s="54" t="b">
        <f t="shared" si="2"/>
        <v>1</v>
      </c>
    </row>
    <row r="13" spans="1:6" x14ac:dyDescent="0.25">
      <c r="A13" s="52" t="s">
        <v>25</v>
      </c>
      <c r="B13" s="45" t="s">
        <v>26</v>
      </c>
      <c r="C13" s="56">
        <v>29.7</v>
      </c>
      <c r="D13" s="54" t="b">
        <f t="shared" si="0"/>
        <v>1</v>
      </c>
      <c r="E13" s="54" t="b">
        <f t="shared" si="1"/>
        <v>1</v>
      </c>
      <c r="F13" s="54" t="b">
        <f t="shared" si="2"/>
        <v>1</v>
      </c>
    </row>
    <row r="14" spans="1:6" x14ac:dyDescent="0.25">
      <c r="A14" s="52" t="s">
        <v>27</v>
      </c>
      <c r="B14" s="45" t="s">
        <v>28</v>
      </c>
      <c r="C14" s="56">
        <v>0.34</v>
      </c>
      <c r="D14" s="54" t="b">
        <f t="shared" si="0"/>
        <v>1</v>
      </c>
      <c r="E14" s="54" t="b">
        <f t="shared" si="1"/>
        <v>1</v>
      </c>
      <c r="F14" s="54" t="b">
        <f t="shared" si="2"/>
        <v>1</v>
      </c>
    </row>
    <row r="15" spans="1:6" x14ac:dyDescent="0.25">
      <c r="A15" s="52" t="s">
        <v>29</v>
      </c>
      <c r="B15" s="45" t="s">
        <v>30</v>
      </c>
      <c r="C15" s="56">
        <v>0.33</v>
      </c>
      <c r="D15" s="54" t="b">
        <f t="shared" si="0"/>
        <v>1</v>
      </c>
      <c r="E15" s="54" t="b">
        <f t="shared" si="1"/>
        <v>1</v>
      </c>
      <c r="F15" s="54" t="b">
        <f t="shared" si="2"/>
        <v>1</v>
      </c>
    </row>
    <row r="16" spans="1:6" x14ac:dyDescent="0.25">
      <c r="A16" s="52" t="s">
        <v>31</v>
      </c>
      <c r="B16" s="45" t="s">
        <v>32</v>
      </c>
      <c r="C16" s="56">
        <v>0.55000000000000004</v>
      </c>
      <c r="D16" s="54" t="b">
        <f t="shared" si="0"/>
        <v>1</v>
      </c>
      <c r="E16" s="54" t="b">
        <f t="shared" si="1"/>
        <v>1</v>
      </c>
      <c r="F16" s="54" t="b">
        <f t="shared" si="2"/>
        <v>1</v>
      </c>
    </row>
    <row r="17" spans="1:6" x14ac:dyDescent="0.25">
      <c r="A17" s="52" t="s">
        <v>33</v>
      </c>
      <c r="B17" s="45" t="s">
        <v>34</v>
      </c>
      <c r="C17" s="56">
        <v>0.31</v>
      </c>
      <c r="D17" s="54" t="b">
        <f t="shared" si="0"/>
        <v>1</v>
      </c>
      <c r="E17" s="54" t="b">
        <f t="shared" si="1"/>
        <v>1</v>
      </c>
      <c r="F17" s="54" t="b">
        <f t="shared" si="2"/>
        <v>1</v>
      </c>
    </row>
    <row r="18" spans="1:6" x14ac:dyDescent="0.25">
      <c r="A18" s="52" t="s">
        <v>35</v>
      </c>
      <c r="B18" s="45" t="s">
        <v>36</v>
      </c>
      <c r="C18" s="56">
        <v>0.35</v>
      </c>
      <c r="D18" s="54" t="b">
        <f t="shared" si="0"/>
        <v>1</v>
      </c>
      <c r="E18" s="54" t="b">
        <f t="shared" si="1"/>
        <v>1</v>
      </c>
      <c r="F18" s="54" t="b">
        <f t="shared" si="2"/>
        <v>1</v>
      </c>
    </row>
    <row r="19" spans="1:6" x14ac:dyDescent="0.25">
      <c r="A19" s="52" t="s">
        <v>37</v>
      </c>
      <c r="B19" s="45" t="s">
        <v>38</v>
      </c>
      <c r="C19" s="56">
        <v>0.56999999999999995</v>
      </c>
      <c r="D19" s="54" t="b">
        <f t="shared" si="0"/>
        <v>1</v>
      </c>
      <c r="E19" s="54" t="b">
        <f t="shared" si="1"/>
        <v>1</v>
      </c>
      <c r="F19" s="54" t="b">
        <f t="shared" si="2"/>
        <v>1</v>
      </c>
    </row>
    <row r="20" spans="1:6" x14ac:dyDescent="0.25">
      <c r="A20" s="52" t="s">
        <v>39</v>
      </c>
      <c r="B20" s="45" t="s">
        <v>40</v>
      </c>
      <c r="C20" s="56">
        <v>0.47</v>
      </c>
      <c r="D20" s="54" t="b">
        <f t="shared" si="0"/>
        <v>1</v>
      </c>
      <c r="E20" s="54" t="b">
        <f t="shared" si="1"/>
        <v>1</v>
      </c>
      <c r="F20" s="54" t="b">
        <f t="shared" si="2"/>
        <v>1</v>
      </c>
    </row>
    <row r="21" spans="1:6" x14ac:dyDescent="0.25">
      <c r="A21" s="52" t="s">
        <v>41</v>
      </c>
      <c r="B21" s="45" t="s">
        <v>42</v>
      </c>
      <c r="C21" s="56">
        <v>0.42299999999999999</v>
      </c>
      <c r="D21" s="54" t="b">
        <f t="shared" si="0"/>
        <v>1</v>
      </c>
      <c r="E21" s="54" t="b">
        <f t="shared" si="1"/>
        <v>1</v>
      </c>
      <c r="F21" s="54" t="b">
        <f t="shared" si="2"/>
        <v>1</v>
      </c>
    </row>
    <row r="22" spans="1:6" x14ac:dyDescent="0.25">
      <c r="A22" s="52" t="s">
        <v>43</v>
      </c>
      <c r="B22" s="45" t="s">
        <v>44</v>
      </c>
      <c r="C22" s="56">
        <v>0.75</v>
      </c>
      <c r="D22" s="54" t="b">
        <f t="shared" si="0"/>
        <v>1</v>
      </c>
      <c r="E22" s="54" t="b">
        <f t="shared" si="1"/>
        <v>1</v>
      </c>
      <c r="F22" s="54" t="b">
        <f t="shared" si="2"/>
        <v>1</v>
      </c>
    </row>
    <row r="23" spans="1:6" x14ac:dyDescent="0.25">
      <c r="A23" s="44" t="s">
        <v>45</v>
      </c>
      <c r="B23" s="43" t="s">
        <v>46</v>
      </c>
      <c r="C23" s="56">
        <v>0.49</v>
      </c>
      <c r="D23" s="54" t="b">
        <f t="shared" si="0"/>
        <v>1</v>
      </c>
      <c r="E23" s="54" t="b">
        <f t="shared" si="1"/>
        <v>1</v>
      </c>
      <c r="F23" s="54" t="b">
        <f t="shared" si="2"/>
        <v>1</v>
      </c>
    </row>
    <row r="24" spans="1:6" x14ac:dyDescent="0.25">
      <c r="A24" s="52" t="s">
        <v>47</v>
      </c>
      <c r="B24" s="45" t="s">
        <v>48</v>
      </c>
      <c r="C24" s="56">
        <v>0.63</v>
      </c>
      <c r="D24" s="54" t="b">
        <f t="shared" si="0"/>
        <v>1</v>
      </c>
      <c r="E24" s="54" t="b">
        <f t="shared" si="1"/>
        <v>1</v>
      </c>
      <c r="F24" s="54" t="b">
        <f t="shared" si="2"/>
        <v>1</v>
      </c>
    </row>
    <row r="25" spans="1:6" x14ac:dyDescent="0.25">
      <c r="A25" s="53" t="s">
        <v>566</v>
      </c>
      <c r="B25" s="46" t="s">
        <v>567</v>
      </c>
      <c r="C25" s="56">
        <v>0.52</v>
      </c>
      <c r="D25" s="54" t="b">
        <f t="shared" si="0"/>
        <v>1</v>
      </c>
      <c r="E25" s="54" t="b">
        <f t="shared" si="1"/>
        <v>1</v>
      </c>
      <c r="F25" s="54" t="b">
        <f t="shared" si="2"/>
        <v>1</v>
      </c>
    </row>
    <row r="26" spans="1:6" x14ac:dyDescent="0.25">
      <c r="A26" s="48" t="s">
        <v>562</v>
      </c>
      <c r="B26" s="43" t="s">
        <v>565</v>
      </c>
      <c r="C26" s="56">
        <v>1.1000000000000001</v>
      </c>
      <c r="D26" s="54" t="b">
        <f t="shared" si="0"/>
        <v>1</v>
      </c>
      <c r="E26" s="54" t="b">
        <f t="shared" si="1"/>
        <v>1</v>
      </c>
      <c r="F26" s="54" t="b">
        <f t="shared" si="2"/>
        <v>1</v>
      </c>
    </row>
    <row r="27" spans="1:6" x14ac:dyDescent="0.25">
      <c r="A27" s="48" t="s">
        <v>563</v>
      </c>
      <c r="B27" s="43" t="s">
        <v>564</v>
      </c>
      <c r="C27" s="56">
        <v>1.4</v>
      </c>
      <c r="D27" s="54" t="b">
        <f t="shared" si="0"/>
        <v>1</v>
      </c>
      <c r="E27" s="54" t="b">
        <f t="shared" si="1"/>
        <v>1</v>
      </c>
      <c r="F27" s="54" t="b">
        <f t="shared" si="2"/>
        <v>1</v>
      </c>
    </row>
    <row r="28" spans="1:6" x14ac:dyDescent="0.25">
      <c r="A28" s="48" t="s">
        <v>568</v>
      </c>
      <c r="B28" s="43" t="s">
        <v>569</v>
      </c>
      <c r="C28" s="56">
        <v>2.2999999999999998</v>
      </c>
      <c r="D28" s="54" t="b">
        <f t="shared" si="0"/>
        <v>1</v>
      </c>
      <c r="E28" s="54" t="b">
        <f t="shared" si="1"/>
        <v>1</v>
      </c>
      <c r="F28" s="54" t="b">
        <f t="shared" si="2"/>
        <v>1</v>
      </c>
    </row>
    <row r="29" spans="1:6" x14ac:dyDescent="0.25">
      <c r="A29" s="48" t="s">
        <v>570</v>
      </c>
      <c r="B29" s="47" t="s">
        <v>571</v>
      </c>
      <c r="C29" s="56">
        <v>2.8</v>
      </c>
      <c r="D29" s="54" t="b">
        <f t="shared" si="0"/>
        <v>1</v>
      </c>
      <c r="E29" s="54" t="b">
        <f t="shared" si="1"/>
        <v>1</v>
      </c>
      <c r="F29" s="54" t="b">
        <f t="shared" si="2"/>
        <v>1</v>
      </c>
    </row>
    <row r="30" spans="1:6" x14ac:dyDescent="0.25">
      <c r="A30" s="48" t="s">
        <v>572</v>
      </c>
      <c r="B30" s="47" t="s">
        <v>573</v>
      </c>
      <c r="C30" s="56">
        <v>4.2</v>
      </c>
      <c r="D30" s="54" t="b">
        <f t="shared" si="0"/>
        <v>1</v>
      </c>
      <c r="E30" s="54" t="b">
        <f t="shared" si="1"/>
        <v>1</v>
      </c>
      <c r="F30" s="54" t="b">
        <f t="shared" si="2"/>
        <v>1</v>
      </c>
    </row>
    <row r="31" spans="1:6" x14ac:dyDescent="0.25">
      <c r="A31" s="48" t="s">
        <v>574</v>
      </c>
      <c r="B31" s="48" t="s">
        <v>575</v>
      </c>
      <c r="C31" s="56">
        <v>5.7</v>
      </c>
      <c r="D31" s="54" t="b">
        <f t="shared" si="0"/>
        <v>1</v>
      </c>
      <c r="E31" s="54" t="b">
        <f t="shared" si="1"/>
        <v>1</v>
      </c>
      <c r="F31" s="54" t="b">
        <f t="shared" si="2"/>
        <v>1</v>
      </c>
    </row>
    <row r="32" spans="1:6" x14ac:dyDescent="0.25">
      <c r="A32" s="44" t="s">
        <v>49</v>
      </c>
      <c r="B32" s="43" t="s">
        <v>50</v>
      </c>
      <c r="C32" s="56">
        <v>0.41</v>
      </c>
      <c r="D32" s="54" t="b">
        <f t="shared" si="0"/>
        <v>1</v>
      </c>
      <c r="E32" s="54" t="b">
        <f t="shared" si="1"/>
        <v>1</v>
      </c>
      <c r="F32" s="54" t="b">
        <f t="shared" si="2"/>
        <v>1</v>
      </c>
    </row>
    <row r="33" spans="1:6" x14ac:dyDescent="0.25">
      <c r="A33" s="44" t="s">
        <v>51</v>
      </c>
      <c r="B33" s="44" t="s">
        <v>52</v>
      </c>
      <c r="C33" s="56">
        <v>0.9</v>
      </c>
      <c r="D33" s="54" t="b">
        <f t="shared" si="0"/>
        <v>1</v>
      </c>
      <c r="E33" s="54" t="b">
        <f t="shared" si="1"/>
        <v>1</v>
      </c>
      <c r="F33" s="54" t="b">
        <f t="shared" si="2"/>
        <v>1</v>
      </c>
    </row>
    <row r="34" spans="1:6" x14ac:dyDescent="0.25">
      <c r="A34" s="43" t="s">
        <v>53</v>
      </c>
      <c r="B34" s="45" t="s">
        <v>54</v>
      </c>
      <c r="C34" s="56">
        <v>1.37</v>
      </c>
      <c r="D34" s="54" t="b">
        <f t="shared" si="0"/>
        <v>1</v>
      </c>
      <c r="E34" s="54" t="b">
        <f t="shared" si="1"/>
        <v>1</v>
      </c>
      <c r="F34" s="54" t="b">
        <f t="shared" si="2"/>
        <v>1</v>
      </c>
    </row>
    <row r="35" spans="1:6" x14ac:dyDescent="0.25">
      <c r="A35" s="43" t="s">
        <v>55</v>
      </c>
      <c r="B35" s="45" t="s">
        <v>56</v>
      </c>
      <c r="C35" s="56">
        <v>2.2799999999999998</v>
      </c>
      <c r="D35" s="54" t="b">
        <f t="shared" si="0"/>
        <v>1</v>
      </c>
      <c r="E35" s="54" t="b">
        <f t="shared" si="1"/>
        <v>1</v>
      </c>
      <c r="F35" s="54" t="b">
        <f t="shared" si="2"/>
        <v>1</v>
      </c>
    </row>
    <row r="36" spans="1:6" x14ac:dyDescent="0.25">
      <c r="A36" s="47" t="s">
        <v>57</v>
      </c>
      <c r="B36" s="49" t="s">
        <v>58</v>
      </c>
      <c r="C36" s="56">
        <v>0.48</v>
      </c>
      <c r="D36" s="54" t="b">
        <f t="shared" si="0"/>
        <v>1</v>
      </c>
      <c r="E36" s="54" t="b">
        <f t="shared" si="1"/>
        <v>1</v>
      </c>
      <c r="F36" s="54" t="b">
        <f t="shared" si="2"/>
        <v>1</v>
      </c>
    </row>
    <row r="37" spans="1:6" x14ac:dyDescent="0.25">
      <c r="A37" s="47" t="s">
        <v>59</v>
      </c>
      <c r="B37" s="49" t="s">
        <v>60</v>
      </c>
      <c r="C37" s="56">
        <v>0.53</v>
      </c>
      <c r="D37" s="54" t="b">
        <f t="shared" si="0"/>
        <v>1</v>
      </c>
      <c r="E37" s="54" t="b">
        <f t="shared" si="1"/>
        <v>1</v>
      </c>
      <c r="F37" s="54" t="b">
        <f t="shared" si="2"/>
        <v>1</v>
      </c>
    </row>
    <row r="38" spans="1:6" x14ac:dyDescent="0.25">
      <c r="A38" s="47" t="s">
        <v>61</v>
      </c>
      <c r="B38" s="49" t="s">
        <v>62</v>
      </c>
      <c r="C38" s="56">
        <v>0.65</v>
      </c>
      <c r="D38" s="54" t="b">
        <f t="shared" si="0"/>
        <v>1</v>
      </c>
      <c r="E38" s="54" t="b">
        <f t="shared" si="1"/>
        <v>1</v>
      </c>
      <c r="F38" s="54" t="b">
        <f t="shared" si="2"/>
        <v>1</v>
      </c>
    </row>
    <row r="39" spans="1:6" x14ac:dyDescent="0.25">
      <c r="A39" s="47" t="s">
        <v>63</v>
      </c>
      <c r="B39" s="49" t="s">
        <v>64</v>
      </c>
      <c r="C39" s="56">
        <v>0.65</v>
      </c>
      <c r="D39" s="54" t="b">
        <f t="shared" si="0"/>
        <v>1</v>
      </c>
      <c r="E39" s="54" t="b">
        <f t="shared" si="1"/>
        <v>1</v>
      </c>
      <c r="F39" s="54" t="b">
        <f t="shared" si="2"/>
        <v>1</v>
      </c>
    </row>
    <row r="40" spans="1:6" x14ac:dyDescent="0.25">
      <c r="A40" s="47" t="s">
        <v>65</v>
      </c>
      <c r="B40" s="49" t="s">
        <v>66</v>
      </c>
      <c r="C40" s="56">
        <v>0.5</v>
      </c>
      <c r="D40" s="54" t="b">
        <f t="shared" si="0"/>
        <v>1</v>
      </c>
      <c r="E40" s="54" t="b">
        <f t="shared" si="1"/>
        <v>1</v>
      </c>
      <c r="F40" s="54" t="b">
        <f t="shared" si="2"/>
        <v>1</v>
      </c>
    </row>
    <row r="41" spans="1:6" x14ac:dyDescent="0.25">
      <c r="A41" s="47" t="s">
        <v>67</v>
      </c>
      <c r="B41" s="49" t="s">
        <v>68</v>
      </c>
      <c r="C41" s="56">
        <v>0.68</v>
      </c>
      <c r="D41" s="54" t="b">
        <f t="shared" si="0"/>
        <v>1</v>
      </c>
      <c r="E41" s="54" t="b">
        <f t="shared" si="1"/>
        <v>1</v>
      </c>
      <c r="F41" s="54" t="b">
        <f t="shared" si="2"/>
        <v>1</v>
      </c>
    </row>
    <row r="42" spans="1:6" x14ac:dyDescent="0.25">
      <c r="A42" s="47" t="s">
        <v>69</v>
      </c>
      <c r="B42" s="49" t="s">
        <v>70</v>
      </c>
      <c r="C42" s="56">
        <v>0.68</v>
      </c>
      <c r="D42" s="54" t="b">
        <f t="shared" si="0"/>
        <v>1</v>
      </c>
      <c r="E42" s="54" t="b">
        <f t="shared" si="1"/>
        <v>1</v>
      </c>
      <c r="F42" s="54" t="b">
        <f t="shared" si="2"/>
        <v>1</v>
      </c>
    </row>
    <row r="43" spans="1:6" x14ac:dyDescent="0.25">
      <c r="A43" s="47" t="s">
        <v>71</v>
      </c>
      <c r="B43" s="49" t="s">
        <v>72</v>
      </c>
      <c r="C43" s="56">
        <v>0.77</v>
      </c>
      <c r="D43" s="54" t="b">
        <f t="shared" si="0"/>
        <v>1</v>
      </c>
      <c r="E43" s="54" t="b">
        <f t="shared" si="1"/>
        <v>1</v>
      </c>
      <c r="F43" s="54" t="b">
        <f t="shared" si="2"/>
        <v>1</v>
      </c>
    </row>
    <row r="44" spans="1:6" x14ac:dyDescent="0.25">
      <c r="A44" s="47" t="s">
        <v>73</v>
      </c>
      <c r="B44" s="49" t="s">
        <v>74</v>
      </c>
      <c r="C44" s="56">
        <v>0.95</v>
      </c>
      <c r="D44" s="54" t="b">
        <f t="shared" si="0"/>
        <v>1</v>
      </c>
      <c r="E44" s="54" t="b">
        <f t="shared" si="1"/>
        <v>1</v>
      </c>
      <c r="F44" s="54" t="b">
        <f t="shared" si="2"/>
        <v>1</v>
      </c>
    </row>
    <row r="45" spans="1:6" x14ac:dyDescent="0.25">
      <c r="A45" s="47" t="s">
        <v>75</v>
      </c>
      <c r="B45" s="49" t="s">
        <v>76</v>
      </c>
      <c r="C45" s="56">
        <v>0.98</v>
      </c>
      <c r="D45" s="54" t="b">
        <f t="shared" si="0"/>
        <v>1</v>
      </c>
      <c r="E45" s="54" t="b">
        <f t="shared" si="1"/>
        <v>1</v>
      </c>
      <c r="F45" s="54" t="b">
        <f t="shared" si="2"/>
        <v>1</v>
      </c>
    </row>
    <row r="46" spans="1:6" x14ac:dyDescent="0.25">
      <c r="A46" s="47" t="s">
        <v>77</v>
      </c>
      <c r="B46" s="49" t="s">
        <v>78</v>
      </c>
      <c r="C46" s="56">
        <v>1.22</v>
      </c>
      <c r="D46" s="54" t="b">
        <f t="shared" si="0"/>
        <v>1</v>
      </c>
      <c r="E46" s="54" t="b">
        <f t="shared" si="1"/>
        <v>1</v>
      </c>
      <c r="F46" s="54" t="b">
        <f t="shared" si="2"/>
        <v>1</v>
      </c>
    </row>
    <row r="47" spans="1:6" x14ac:dyDescent="0.25">
      <c r="A47" s="47" t="s">
        <v>79</v>
      </c>
      <c r="B47" s="49" t="s">
        <v>80</v>
      </c>
      <c r="C47" s="56">
        <v>1.1200000000000001</v>
      </c>
      <c r="D47" s="54" t="b">
        <f t="shared" si="0"/>
        <v>1</v>
      </c>
      <c r="E47" s="54" t="b">
        <f t="shared" si="1"/>
        <v>1</v>
      </c>
      <c r="F47" s="54" t="b">
        <f t="shared" si="2"/>
        <v>1</v>
      </c>
    </row>
    <row r="48" spans="1:6" x14ac:dyDescent="0.25">
      <c r="A48" s="44" t="s">
        <v>81</v>
      </c>
      <c r="B48" s="43" t="s">
        <v>82</v>
      </c>
      <c r="C48" s="56">
        <v>3.01</v>
      </c>
      <c r="D48" s="54" t="b">
        <f t="shared" si="0"/>
        <v>1</v>
      </c>
      <c r="E48" s="54" t="b">
        <f t="shared" si="1"/>
        <v>1</v>
      </c>
      <c r="F48" s="54" t="b">
        <f t="shared" si="2"/>
        <v>1</v>
      </c>
    </row>
    <row r="49" spans="1:6" x14ac:dyDescent="0.25">
      <c r="A49" s="52" t="s">
        <v>83</v>
      </c>
      <c r="B49" s="45" t="s">
        <v>84</v>
      </c>
      <c r="C49" s="56">
        <v>0.23</v>
      </c>
      <c r="D49" s="54" t="b">
        <f t="shared" si="0"/>
        <v>1</v>
      </c>
      <c r="E49" s="54" t="b">
        <f t="shared" si="1"/>
        <v>1</v>
      </c>
      <c r="F49" s="54" t="b">
        <f t="shared" si="2"/>
        <v>1</v>
      </c>
    </row>
    <row r="50" spans="1:6" x14ac:dyDescent="0.25">
      <c r="A50" s="47" t="s">
        <v>85</v>
      </c>
      <c r="B50" s="49" t="s">
        <v>86</v>
      </c>
      <c r="C50" s="56">
        <v>0.28999999999999998</v>
      </c>
      <c r="D50" s="54" t="b">
        <f t="shared" si="0"/>
        <v>1</v>
      </c>
      <c r="E50" s="54" t="b">
        <f t="shared" si="1"/>
        <v>1</v>
      </c>
      <c r="F50" s="54" t="b">
        <f t="shared" si="2"/>
        <v>1</v>
      </c>
    </row>
    <row r="51" spans="1:6" x14ac:dyDescent="0.25">
      <c r="A51" s="44" t="s">
        <v>87</v>
      </c>
      <c r="B51" s="43" t="s">
        <v>88</v>
      </c>
      <c r="C51" s="56">
        <v>0.62</v>
      </c>
      <c r="D51" s="54" t="b">
        <f t="shared" si="0"/>
        <v>1</v>
      </c>
      <c r="E51" s="54" t="b">
        <f t="shared" si="1"/>
        <v>1</v>
      </c>
      <c r="F51" s="54" t="b">
        <f t="shared" si="2"/>
        <v>1</v>
      </c>
    </row>
    <row r="52" spans="1:6" x14ac:dyDescent="0.25">
      <c r="A52" s="47" t="s">
        <v>89</v>
      </c>
      <c r="B52" s="49" t="s">
        <v>90</v>
      </c>
      <c r="C52" s="56">
        <v>0.42</v>
      </c>
      <c r="D52" s="54" t="b">
        <f t="shared" si="0"/>
        <v>1</v>
      </c>
      <c r="E52" s="54" t="b">
        <f t="shared" si="1"/>
        <v>1</v>
      </c>
      <c r="F52" s="54" t="b">
        <f t="shared" si="2"/>
        <v>1</v>
      </c>
    </row>
    <row r="53" spans="1:6" x14ac:dyDescent="0.25">
      <c r="A53" s="44" t="s">
        <v>91</v>
      </c>
      <c r="B53" s="44" t="s">
        <v>92</v>
      </c>
      <c r="C53" s="56">
        <v>0.61</v>
      </c>
      <c r="D53" s="54" t="b">
        <f t="shared" si="0"/>
        <v>1</v>
      </c>
      <c r="E53" s="54" t="b">
        <f t="shared" si="1"/>
        <v>1</v>
      </c>
      <c r="F53" s="54" t="b">
        <f t="shared" si="2"/>
        <v>1</v>
      </c>
    </row>
    <row r="54" spans="1:6" x14ac:dyDescent="0.25">
      <c r="A54" s="44" t="s">
        <v>93</v>
      </c>
      <c r="B54" s="44" t="s">
        <v>94</v>
      </c>
      <c r="C54" s="56">
        <v>0.55000000000000004</v>
      </c>
      <c r="D54" s="54" t="b">
        <f t="shared" si="0"/>
        <v>1</v>
      </c>
      <c r="E54" s="54" t="b">
        <f t="shared" si="1"/>
        <v>1</v>
      </c>
      <c r="F54" s="54" t="b">
        <f t="shared" si="2"/>
        <v>1</v>
      </c>
    </row>
    <row r="55" spans="1:6" x14ac:dyDescent="0.25">
      <c r="A55" s="44" t="s">
        <v>95</v>
      </c>
      <c r="B55" s="44" t="s">
        <v>96</v>
      </c>
      <c r="C55" s="56">
        <v>0.76</v>
      </c>
      <c r="D55" s="54" t="b">
        <f t="shared" si="0"/>
        <v>1</v>
      </c>
      <c r="E55" s="54" t="b">
        <f t="shared" si="1"/>
        <v>1</v>
      </c>
      <c r="F55" s="54" t="b">
        <f t="shared" si="2"/>
        <v>1</v>
      </c>
    </row>
    <row r="56" spans="1:6" x14ac:dyDescent="0.25">
      <c r="A56" s="44" t="s">
        <v>97</v>
      </c>
      <c r="B56" s="44" t="s">
        <v>98</v>
      </c>
      <c r="C56" s="56">
        <v>0.57999999999999996</v>
      </c>
      <c r="D56" s="54" t="b">
        <f t="shared" si="0"/>
        <v>1</v>
      </c>
      <c r="E56" s="54" t="b">
        <f t="shared" si="1"/>
        <v>1</v>
      </c>
      <c r="F56" s="54" t="b">
        <f t="shared" si="2"/>
        <v>1</v>
      </c>
    </row>
    <row r="57" spans="1:6" x14ac:dyDescent="0.25">
      <c r="A57" s="44" t="s">
        <v>99</v>
      </c>
      <c r="B57" s="44" t="s">
        <v>100</v>
      </c>
      <c r="C57" s="56">
        <v>0.6</v>
      </c>
      <c r="D57" s="54" t="b">
        <f t="shared" si="0"/>
        <v>1</v>
      </c>
      <c r="E57" s="54" t="b">
        <f t="shared" si="1"/>
        <v>1</v>
      </c>
      <c r="F57" s="54" t="b">
        <f t="shared" si="2"/>
        <v>1</v>
      </c>
    </row>
    <row r="58" spans="1:6" x14ac:dyDescent="0.25">
      <c r="A58" s="44" t="s">
        <v>101</v>
      </c>
      <c r="B58" s="44" t="s">
        <v>102</v>
      </c>
      <c r="C58" s="56">
        <v>0.63</v>
      </c>
      <c r="D58" s="54" t="b">
        <f t="shared" si="0"/>
        <v>1</v>
      </c>
      <c r="E58" s="54" t="b">
        <f t="shared" si="1"/>
        <v>1</v>
      </c>
      <c r="F58" s="54" t="b">
        <f t="shared" si="2"/>
        <v>1</v>
      </c>
    </row>
    <row r="59" spans="1:6" x14ac:dyDescent="0.25">
      <c r="A59" s="47" t="s">
        <v>103</v>
      </c>
      <c r="B59" s="49" t="s">
        <v>104</v>
      </c>
      <c r="C59" s="56">
        <v>0.86</v>
      </c>
      <c r="D59" s="54" t="b">
        <f t="shared" si="0"/>
        <v>1</v>
      </c>
      <c r="E59" s="54" t="b">
        <f t="shared" si="1"/>
        <v>1</v>
      </c>
      <c r="F59" s="54" t="b">
        <f t="shared" si="2"/>
        <v>1</v>
      </c>
    </row>
    <row r="60" spans="1:6" x14ac:dyDescent="0.25">
      <c r="A60" s="47" t="s">
        <v>105</v>
      </c>
      <c r="B60" s="49" t="s">
        <v>106</v>
      </c>
      <c r="C60" s="56">
        <v>0.92</v>
      </c>
      <c r="D60" s="54" t="b">
        <f t="shared" si="0"/>
        <v>1</v>
      </c>
      <c r="E60" s="54" t="b">
        <f t="shared" si="1"/>
        <v>1</v>
      </c>
      <c r="F60" s="54" t="b">
        <f t="shared" si="2"/>
        <v>1</v>
      </c>
    </row>
    <row r="61" spans="1:6" x14ac:dyDescent="0.25">
      <c r="A61" s="44" t="s">
        <v>107</v>
      </c>
      <c r="B61" s="43" t="s">
        <v>108</v>
      </c>
      <c r="C61" s="56">
        <v>0.69</v>
      </c>
      <c r="D61" s="54" t="b">
        <f t="shared" si="0"/>
        <v>1</v>
      </c>
      <c r="E61" s="54" t="b">
        <f t="shared" si="1"/>
        <v>1</v>
      </c>
      <c r="F61" s="54" t="b">
        <f t="shared" si="2"/>
        <v>1</v>
      </c>
    </row>
    <row r="62" spans="1:6" x14ac:dyDescent="0.25">
      <c r="A62" s="47" t="s">
        <v>109</v>
      </c>
      <c r="B62" s="49" t="s">
        <v>110</v>
      </c>
      <c r="C62" s="56">
        <v>0.79</v>
      </c>
      <c r="D62" s="54" t="b">
        <f t="shared" si="0"/>
        <v>1</v>
      </c>
      <c r="E62" s="54" t="b">
        <f t="shared" si="1"/>
        <v>1</v>
      </c>
      <c r="F62" s="54" t="b">
        <f t="shared" si="2"/>
        <v>1</v>
      </c>
    </row>
    <row r="63" spans="1:6" x14ac:dyDescent="0.25">
      <c r="A63" s="47" t="s">
        <v>111</v>
      </c>
      <c r="B63" s="49" t="s">
        <v>112</v>
      </c>
      <c r="C63" s="56">
        <v>0.9</v>
      </c>
      <c r="D63" s="54" t="b">
        <f t="shared" si="0"/>
        <v>1</v>
      </c>
      <c r="E63" s="54" t="b">
        <f t="shared" si="1"/>
        <v>1</v>
      </c>
      <c r="F63" s="54" t="b">
        <f t="shared" si="2"/>
        <v>1</v>
      </c>
    </row>
    <row r="64" spans="1:6" x14ac:dyDescent="0.25">
      <c r="A64" s="47" t="s">
        <v>113</v>
      </c>
      <c r="B64" s="49" t="s">
        <v>114</v>
      </c>
      <c r="C64" s="56">
        <v>0.8</v>
      </c>
      <c r="D64" s="54" t="b">
        <f t="shared" si="0"/>
        <v>1</v>
      </c>
      <c r="E64" s="54" t="b">
        <f t="shared" si="1"/>
        <v>1</v>
      </c>
      <c r="F64" s="54" t="b">
        <f t="shared" si="2"/>
        <v>1</v>
      </c>
    </row>
    <row r="65" spans="1:6" x14ac:dyDescent="0.25">
      <c r="A65" s="47" t="s">
        <v>115</v>
      </c>
      <c r="B65" s="49" t="s">
        <v>116</v>
      </c>
      <c r="C65" s="56">
        <v>0.89</v>
      </c>
      <c r="D65" s="54" t="b">
        <f t="shared" si="0"/>
        <v>1</v>
      </c>
      <c r="E65" s="54" t="b">
        <f t="shared" si="1"/>
        <v>1</v>
      </c>
      <c r="F65" s="54" t="b">
        <f t="shared" si="2"/>
        <v>1</v>
      </c>
    </row>
    <row r="66" spans="1:6" x14ac:dyDescent="0.25">
      <c r="A66" s="47" t="s">
        <v>117</v>
      </c>
      <c r="B66" s="49" t="s">
        <v>118</v>
      </c>
      <c r="C66" s="56">
        <v>0.97</v>
      </c>
      <c r="D66" s="54" t="b">
        <f t="shared" si="0"/>
        <v>1</v>
      </c>
      <c r="E66" s="54" t="b">
        <f t="shared" si="1"/>
        <v>1</v>
      </c>
      <c r="F66" s="54" t="b">
        <f t="shared" si="2"/>
        <v>1</v>
      </c>
    </row>
    <row r="67" spans="1:6" x14ac:dyDescent="0.25">
      <c r="A67" s="47" t="s">
        <v>119</v>
      </c>
      <c r="B67" s="49" t="s">
        <v>120</v>
      </c>
      <c r="C67" s="56">
        <v>0.81</v>
      </c>
      <c r="D67" s="54" t="b">
        <f t="shared" ref="D67:D130" si="3">NOT(ISNUMBER(SEARCH("O",B67)))</f>
        <v>1</v>
      </c>
      <c r="E67" s="54" t="b">
        <f t="shared" ref="E67:E130" si="4">NOT(ISNUMBER(SEARCH("S",B67)))</f>
        <v>1</v>
      </c>
      <c r="F67" s="54" t="b">
        <f t="shared" ref="F67:F130" si="5">AND(D67,E67)</f>
        <v>1</v>
      </c>
    </row>
    <row r="68" spans="1:6" x14ac:dyDescent="0.25">
      <c r="A68" s="47" t="s">
        <v>121</v>
      </c>
      <c r="B68" s="49" t="s">
        <v>122</v>
      </c>
      <c r="C68" s="56">
        <v>0.97</v>
      </c>
      <c r="D68" s="54" t="b">
        <f t="shared" si="3"/>
        <v>1</v>
      </c>
      <c r="E68" s="54" t="b">
        <f t="shared" si="4"/>
        <v>1</v>
      </c>
      <c r="F68" s="54" t="b">
        <f t="shared" si="5"/>
        <v>1</v>
      </c>
    </row>
    <row r="69" spans="1:6" x14ac:dyDescent="0.25">
      <c r="A69" s="47" t="s">
        <v>123</v>
      </c>
      <c r="B69" s="49" t="s">
        <v>124</v>
      </c>
      <c r="C69" s="56">
        <v>0.71</v>
      </c>
      <c r="D69" s="54" t="b">
        <f t="shared" si="3"/>
        <v>1</v>
      </c>
      <c r="E69" s="54" t="b">
        <f t="shared" si="4"/>
        <v>1</v>
      </c>
      <c r="F69" s="54" t="b">
        <f t="shared" si="5"/>
        <v>1</v>
      </c>
    </row>
    <row r="70" spans="1:6" x14ac:dyDescent="0.25">
      <c r="A70" s="47" t="s">
        <v>125</v>
      </c>
      <c r="B70" s="49" t="s">
        <v>126</v>
      </c>
      <c r="C70" s="56">
        <v>0.66</v>
      </c>
      <c r="D70" s="54" t="b">
        <f t="shared" si="3"/>
        <v>1</v>
      </c>
      <c r="E70" s="54" t="b">
        <f t="shared" si="4"/>
        <v>1</v>
      </c>
      <c r="F70" s="54" t="b">
        <f t="shared" si="5"/>
        <v>1</v>
      </c>
    </row>
    <row r="71" spans="1:6" x14ac:dyDescent="0.25">
      <c r="A71" s="47" t="s">
        <v>127</v>
      </c>
      <c r="B71" s="49" t="s">
        <v>128</v>
      </c>
      <c r="C71" s="56">
        <v>0.66</v>
      </c>
      <c r="D71" s="54" t="b">
        <f t="shared" si="3"/>
        <v>1</v>
      </c>
      <c r="E71" s="54" t="b">
        <f t="shared" si="4"/>
        <v>1</v>
      </c>
      <c r="F71" s="54" t="b">
        <f t="shared" si="5"/>
        <v>1</v>
      </c>
    </row>
    <row r="72" spans="1:6" x14ac:dyDescent="0.25">
      <c r="A72" s="47" t="s">
        <v>129</v>
      </c>
      <c r="B72" s="49" t="s">
        <v>130</v>
      </c>
      <c r="C72" s="56">
        <v>3.4</v>
      </c>
      <c r="D72" s="54" t="b">
        <f t="shared" si="3"/>
        <v>1</v>
      </c>
      <c r="E72" s="54" t="b">
        <f t="shared" si="4"/>
        <v>1</v>
      </c>
      <c r="F72" s="54" t="b">
        <f t="shared" si="5"/>
        <v>1</v>
      </c>
    </row>
    <row r="73" spans="1:6" x14ac:dyDescent="0.25">
      <c r="A73" s="44" t="s">
        <v>131</v>
      </c>
      <c r="B73" s="44" t="s">
        <v>132</v>
      </c>
      <c r="C73" s="56">
        <v>0.7</v>
      </c>
      <c r="D73" s="54" t="b">
        <f t="shared" si="3"/>
        <v>1</v>
      </c>
      <c r="E73" s="54" t="b">
        <f t="shared" si="4"/>
        <v>1</v>
      </c>
      <c r="F73" s="54" t="b">
        <f t="shared" si="5"/>
        <v>1</v>
      </c>
    </row>
    <row r="74" spans="1:6" x14ac:dyDescent="0.25">
      <c r="A74" s="44" t="s">
        <v>133</v>
      </c>
      <c r="B74" s="44" t="s">
        <v>134</v>
      </c>
      <c r="C74" s="56">
        <v>2</v>
      </c>
      <c r="D74" s="54" t="b">
        <f t="shared" si="3"/>
        <v>1</v>
      </c>
      <c r="E74" s="54" t="b">
        <f t="shared" si="4"/>
        <v>1</v>
      </c>
      <c r="F74" s="54" t="b">
        <f t="shared" si="5"/>
        <v>1</v>
      </c>
    </row>
    <row r="75" spans="1:6" hidden="1" x14ac:dyDescent="0.25">
      <c r="A75" s="44" t="s">
        <v>135</v>
      </c>
      <c r="B75" s="44" t="s">
        <v>136</v>
      </c>
      <c r="C75" s="56">
        <v>0.54</v>
      </c>
      <c r="D75" s="54" t="b">
        <f t="shared" si="3"/>
        <v>0</v>
      </c>
      <c r="E75" s="54" t="b">
        <f t="shared" si="4"/>
        <v>1</v>
      </c>
      <c r="F75" s="54" t="b">
        <f t="shared" si="5"/>
        <v>0</v>
      </c>
    </row>
    <row r="76" spans="1:6" hidden="1" x14ac:dyDescent="0.25">
      <c r="A76" s="44" t="s">
        <v>137</v>
      </c>
      <c r="B76" s="44" t="s">
        <v>138</v>
      </c>
      <c r="C76" s="56">
        <v>1.07</v>
      </c>
      <c r="D76" s="54" t="b">
        <f t="shared" si="3"/>
        <v>0</v>
      </c>
      <c r="E76" s="54" t="b">
        <f t="shared" si="4"/>
        <v>1</v>
      </c>
      <c r="F76" s="54" t="b">
        <f t="shared" si="5"/>
        <v>0</v>
      </c>
    </row>
    <row r="77" spans="1:6" hidden="1" x14ac:dyDescent="0.25">
      <c r="A77" s="44" t="s">
        <v>139</v>
      </c>
      <c r="B77" s="44" t="s">
        <v>140</v>
      </c>
      <c r="C77" s="56">
        <v>1.9</v>
      </c>
      <c r="D77" s="54" t="b">
        <f t="shared" si="3"/>
        <v>0</v>
      </c>
      <c r="E77" s="54" t="b">
        <f t="shared" si="4"/>
        <v>1</v>
      </c>
      <c r="F77" s="54" t="b">
        <f t="shared" si="5"/>
        <v>0</v>
      </c>
    </row>
    <row r="78" spans="1:6" hidden="1" x14ac:dyDescent="0.25">
      <c r="A78" s="44" t="s">
        <v>141</v>
      </c>
      <c r="B78" s="43" t="s">
        <v>142</v>
      </c>
      <c r="C78" s="56">
        <v>2</v>
      </c>
      <c r="D78" s="54" t="b">
        <f t="shared" si="3"/>
        <v>0</v>
      </c>
      <c r="E78" s="54" t="b">
        <f t="shared" si="4"/>
        <v>1</v>
      </c>
      <c r="F78" s="54" t="b">
        <f t="shared" si="5"/>
        <v>0</v>
      </c>
    </row>
    <row r="79" spans="1:6" hidden="1" x14ac:dyDescent="0.25">
      <c r="A79" s="44" t="s">
        <v>143</v>
      </c>
      <c r="B79" s="44" t="s">
        <v>144</v>
      </c>
      <c r="C79" s="56">
        <v>2.6</v>
      </c>
      <c r="D79" s="54" t="b">
        <f t="shared" si="3"/>
        <v>0</v>
      </c>
      <c r="E79" s="54" t="b">
        <f t="shared" si="4"/>
        <v>1</v>
      </c>
      <c r="F79" s="54" t="b">
        <f t="shared" si="5"/>
        <v>0</v>
      </c>
    </row>
    <row r="80" spans="1:6" hidden="1" x14ac:dyDescent="0.25">
      <c r="A80" s="44" t="s">
        <v>145</v>
      </c>
      <c r="B80" s="43" t="s">
        <v>146</v>
      </c>
      <c r="C80" s="56">
        <v>3.2</v>
      </c>
      <c r="D80" s="54" t="b">
        <f t="shared" si="3"/>
        <v>0</v>
      </c>
      <c r="E80" s="54" t="b">
        <f t="shared" si="4"/>
        <v>1</v>
      </c>
      <c r="F80" s="54" t="b">
        <f t="shared" si="5"/>
        <v>0</v>
      </c>
    </row>
    <row r="81" spans="1:6" hidden="1" x14ac:dyDescent="0.25">
      <c r="A81" s="44" t="s">
        <v>147</v>
      </c>
      <c r="B81" s="43" t="s">
        <v>148</v>
      </c>
      <c r="C81" s="56">
        <v>3.3</v>
      </c>
      <c r="D81" s="54" t="b">
        <f t="shared" si="3"/>
        <v>0</v>
      </c>
      <c r="E81" s="54" t="b">
        <f t="shared" si="4"/>
        <v>1</v>
      </c>
      <c r="F81" s="54" t="b">
        <f t="shared" si="5"/>
        <v>0</v>
      </c>
    </row>
    <row r="82" spans="1:6" hidden="1" x14ac:dyDescent="0.25">
      <c r="A82" s="44" t="s">
        <v>149</v>
      </c>
      <c r="B82" s="43" t="s">
        <v>150</v>
      </c>
      <c r="C82" s="56">
        <v>4.4000000000000004</v>
      </c>
      <c r="D82" s="54" t="b">
        <f t="shared" si="3"/>
        <v>0</v>
      </c>
      <c r="E82" s="54" t="b">
        <f t="shared" si="4"/>
        <v>1</v>
      </c>
      <c r="F82" s="54" t="b">
        <f t="shared" si="5"/>
        <v>0</v>
      </c>
    </row>
    <row r="83" spans="1:6" hidden="1" x14ac:dyDescent="0.25">
      <c r="A83" s="44" t="s">
        <v>151</v>
      </c>
      <c r="B83" s="44" t="s">
        <v>152</v>
      </c>
      <c r="C83" s="56">
        <v>3.5</v>
      </c>
      <c r="D83" s="54" t="b">
        <f t="shared" si="3"/>
        <v>0</v>
      </c>
      <c r="E83" s="54" t="b">
        <f t="shared" si="4"/>
        <v>1</v>
      </c>
      <c r="F83" s="54" t="b">
        <f t="shared" si="5"/>
        <v>0</v>
      </c>
    </row>
    <row r="84" spans="1:6" hidden="1" x14ac:dyDescent="0.25">
      <c r="A84" s="47" t="s">
        <v>153</v>
      </c>
      <c r="B84" s="49" t="s">
        <v>154</v>
      </c>
      <c r="C84" s="56">
        <v>3.6</v>
      </c>
      <c r="D84" s="54" t="b">
        <f t="shared" si="3"/>
        <v>0</v>
      </c>
      <c r="E84" s="54" t="b">
        <f t="shared" si="4"/>
        <v>1</v>
      </c>
      <c r="F84" s="54" t="b">
        <f t="shared" si="5"/>
        <v>0</v>
      </c>
    </row>
    <row r="85" spans="1:6" hidden="1" x14ac:dyDescent="0.25">
      <c r="A85" s="44" t="s">
        <v>155</v>
      </c>
      <c r="B85" s="43" t="s">
        <v>156</v>
      </c>
      <c r="C85" s="56">
        <v>4.5</v>
      </c>
      <c r="D85" s="54" t="b">
        <f t="shared" si="3"/>
        <v>0</v>
      </c>
      <c r="E85" s="54" t="b">
        <f t="shared" si="4"/>
        <v>1</v>
      </c>
      <c r="F85" s="54" t="b">
        <f t="shared" si="5"/>
        <v>0</v>
      </c>
    </row>
    <row r="86" spans="1:6" hidden="1" x14ac:dyDescent="0.25">
      <c r="A86" s="44" t="s">
        <v>157</v>
      </c>
      <c r="B86" s="44" t="s">
        <v>158</v>
      </c>
      <c r="C86" s="56">
        <v>4.0999999999999996</v>
      </c>
      <c r="D86" s="54" t="b">
        <f t="shared" si="3"/>
        <v>0</v>
      </c>
      <c r="E86" s="54" t="b">
        <f t="shared" si="4"/>
        <v>1</v>
      </c>
      <c r="F86" s="54" t="b">
        <f t="shared" si="5"/>
        <v>0</v>
      </c>
    </row>
    <row r="87" spans="1:6" hidden="1" x14ac:dyDescent="0.25">
      <c r="A87" s="44" t="s">
        <v>159</v>
      </c>
      <c r="B87" s="44" t="s">
        <v>160</v>
      </c>
      <c r="C87" s="56">
        <v>5.9</v>
      </c>
      <c r="D87" s="54" t="b">
        <f t="shared" si="3"/>
        <v>0</v>
      </c>
      <c r="E87" s="54" t="b">
        <f t="shared" si="4"/>
        <v>1</v>
      </c>
      <c r="F87" s="54" t="b">
        <f t="shared" si="5"/>
        <v>0</v>
      </c>
    </row>
    <row r="88" spans="1:6" hidden="1" x14ac:dyDescent="0.25">
      <c r="A88" s="43" t="s">
        <v>161</v>
      </c>
      <c r="B88" s="43" t="s">
        <v>162</v>
      </c>
      <c r="C88" s="56">
        <v>5.8</v>
      </c>
      <c r="D88" s="54" t="b">
        <f t="shared" si="3"/>
        <v>0</v>
      </c>
      <c r="E88" s="54" t="b">
        <f t="shared" si="4"/>
        <v>1</v>
      </c>
      <c r="F88" s="54" t="b">
        <f t="shared" si="5"/>
        <v>0</v>
      </c>
    </row>
    <row r="89" spans="1:6" hidden="1" x14ac:dyDescent="0.25">
      <c r="A89" s="44" t="s">
        <v>163</v>
      </c>
      <c r="B89" s="43" t="s">
        <v>164</v>
      </c>
      <c r="C89" s="56">
        <v>7.5</v>
      </c>
      <c r="D89" s="54" t="b">
        <f t="shared" si="3"/>
        <v>0</v>
      </c>
      <c r="E89" s="54" t="b">
        <f t="shared" si="4"/>
        <v>1</v>
      </c>
      <c r="F89" s="54" t="b">
        <f t="shared" si="5"/>
        <v>0</v>
      </c>
    </row>
    <row r="90" spans="1:6" hidden="1" x14ac:dyDescent="0.25">
      <c r="A90" s="44" t="s">
        <v>165</v>
      </c>
      <c r="B90" s="44" t="s">
        <v>166</v>
      </c>
      <c r="C90" s="56">
        <v>6.3</v>
      </c>
      <c r="D90" s="54" t="b">
        <f t="shared" si="3"/>
        <v>0</v>
      </c>
      <c r="E90" s="54" t="b">
        <f t="shared" si="4"/>
        <v>1</v>
      </c>
      <c r="F90" s="54" t="b">
        <f t="shared" si="5"/>
        <v>0</v>
      </c>
    </row>
    <row r="91" spans="1:6" hidden="1" x14ac:dyDescent="0.25">
      <c r="A91" s="43" t="s">
        <v>167</v>
      </c>
      <c r="B91" s="43" t="s">
        <v>168</v>
      </c>
      <c r="C91" s="56">
        <v>9.4</v>
      </c>
      <c r="D91" s="54" t="b">
        <f t="shared" si="3"/>
        <v>0</v>
      </c>
      <c r="E91" s="54" t="b">
        <f t="shared" si="4"/>
        <v>1</v>
      </c>
      <c r="F91" s="54" t="b">
        <f t="shared" si="5"/>
        <v>0</v>
      </c>
    </row>
    <row r="92" spans="1:6" hidden="1" x14ac:dyDescent="0.25">
      <c r="A92" s="43" t="s">
        <v>169</v>
      </c>
      <c r="B92" s="43" t="s">
        <v>170</v>
      </c>
      <c r="C92" s="56">
        <v>11.4</v>
      </c>
      <c r="D92" s="54" t="b">
        <f t="shared" si="3"/>
        <v>0</v>
      </c>
      <c r="E92" s="54" t="b">
        <f t="shared" si="4"/>
        <v>1</v>
      </c>
      <c r="F92" s="54" t="b">
        <f t="shared" si="5"/>
        <v>0</v>
      </c>
    </row>
    <row r="93" spans="1:6" hidden="1" x14ac:dyDescent="0.25">
      <c r="A93" s="43" t="s">
        <v>171</v>
      </c>
      <c r="B93" s="43" t="s">
        <v>172</v>
      </c>
      <c r="C93" s="56">
        <v>14.3</v>
      </c>
      <c r="D93" s="54" t="b">
        <f t="shared" si="3"/>
        <v>0</v>
      </c>
      <c r="E93" s="54" t="b">
        <f t="shared" si="4"/>
        <v>1</v>
      </c>
      <c r="F93" s="54" t="b">
        <f t="shared" si="5"/>
        <v>0</v>
      </c>
    </row>
    <row r="94" spans="1:6" hidden="1" x14ac:dyDescent="0.25">
      <c r="A94" s="50" t="s">
        <v>173</v>
      </c>
      <c r="B94" s="50" t="s">
        <v>174</v>
      </c>
      <c r="C94" s="56">
        <v>16.3</v>
      </c>
      <c r="D94" s="54" t="b">
        <f t="shared" si="3"/>
        <v>0</v>
      </c>
      <c r="E94" s="54" t="b">
        <f t="shared" si="4"/>
        <v>1</v>
      </c>
      <c r="F94" s="54" t="b">
        <f t="shared" si="5"/>
        <v>0</v>
      </c>
    </row>
    <row r="95" spans="1:6" hidden="1" x14ac:dyDescent="0.25">
      <c r="A95" s="43" t="s">
        <v>175</v>
      </c>
      <c r="B95" s="43" t="s">
        <v>176</v>
      </c>
      <c r="C95" s="56">
        <v>1.2</v>
      </c>
      <c r="D95" s="54" t="b">
        <f t="shared" si="3"/>
        <v>0</v>
      </c>
      <c r="E95" s="54" t="b">
        <f t="shared" si="4"/>
        <v>1</v>
      </c>
      <c r="F95" s="54" t="b">
        <f t="shared" si="5"/>
        <v>0</v>
      </c>
    </row>
    <row r="96" spans="1:6" hidden="1" x14ac:dyDescent="0.25">
      <c r="A96" s="44" t="s">
        <v>177</v>
      </c>
      <c r="B96" s="44" t="s">
        <v>178</v>
      </c>
      <c r="C96" s="56">
        <v>1.5</v>
      </c>
      <c r="D96" s="54" t="b">
        <f t="shared" si="3"/>
        <v>0</v>
      </c>
      <c r="E96" s="54" t="b">
        <f t="shared" si="4"/>
        <v>1</v>
      </c>
      <c r="F96" s="54" t="b">
        <f t="shared" si="5"/>
        <v>0</v>
      </c>
    </row>
    <row r="97" spans="1:6" hidden="1" x14ac:dyDescent="0.25">
      <c r="A97" s="44" t="s">
        <v>179</v>
      </c>
      <c r="B97" s="43" t="s">
        <v>180</v>
      </c>
      <c r="C97" s="56">
        <v>5.3</v>
      </c>
      <c r="D97" s="54" t="b">
        <f t="shared" si="3"/>
        <v>0</v>
      </c>
      <c r="E97" s="54" t="b">
        <f t="shared" si="4"/>
        <v>1</v>
      </c>
      <c r="F97" s="54" t="b">
        <f t="shared" si="5"/>
        <v>0</v>
      </c>
    </row>
    <row r="98" spans="1:6" hidden="1" x14ac:dyDescent="0.25">
      <c r="A98" s="44" t="s">
        <v>181</v>
      </c>
      <c r="B98" s="44" t="s">
        <v>182</v>
      </c>
      <c r="C98" s="56">
        <v>12.7</v>
      </c>
      <c r="D98" s="54" t="b">
        <f t="shared" si="3"/>
        <v>0</v>
      </c>
      <c r="E98" s="54" t="b">
        <f t="shared" si="4"/>
        <v>1</v>
      </c>
      <c r="F98" s="54" t="b">
        <f t="shared" si="5"/>
        <v>0</v>
      </c>
    </row>
    <row r="99" spans="1:6" hidden="1" x14ac:dyDescent="0.25">
      <c r="A99" s="44" t="s">
        <v>183</v>
      </c>
      <c r="B99" s="44" t="s">
        <v>184</v>
      </c>
      <c r="C99" s="56">
        <v>17.3</v>
      </c>
      <c r="D99" s="54" t="b">
        <f t="shared" si="3"/>
        <v>0</v>
      </c>
      <c r="E99" s="54" t="b">
        <f t="shared" si="4"/>
        <v>1</v>
      </c>
      <c r="F99" s="54" t="b">
        <f t="shared" si="5"/>
        <v>0</v>
      </c>
    </row>
    <row r="100" spans="1:6" hidden="1" x14ac:dyDescent="0.25">
      <c r="A100" s="44" t="s">
        <v>185</v>
      </c>
      <c r="B100" s="44" t="s">
        <v>186</v>
      </c>
      <c r="C100" s="56">
        <v>29.2</v>
      </c>
      <c r="D100" s="54" t="b">
        <f t="shared" si="3"/>
        <v>0</v>
      </c>
      <c r="E100" s="54" t="b">
        <f t="shared" si="4"/>
        <v>1</v>
      </c>
      <c r="F100" s="54" t="b">
        <f t="shared" si="5"/>
        <v>0</v>
      </c>
    </row>
    <row r="101" spans="1:6" hidden="1" x14ac:dyDescent="0.25">
      <c r="A101" s="44" t="s">
        <v>187</v>
      </c>
      <c r="B101" s="44" t="s">
        <v>188</v>
      </c>
      <c r="C101" s="56">
        <v>1.8</v>
      </c>
      <c r="D101" s="54" t="b">
        <f t="shared" si="3"/>
        <v>0</v>
      </c>
      <c r="E101" s="54" t="b">
        <f t="shared" si="4"/>
        <v>1</v>
      </c>
      <c r="F101" s="54" t="b">
        <f t="shared" si="5"/>
        <v>0</v>
      </c>
    </row>
    <row r="102" spans="1:6" hidden="1" x14ac:dyDescent="0.25">
      <c r="A102" s="44" t="s">
        <v>189</v>
      </c>
      <c r="B102" s="44" t="s">
        <v>190</v>
      </c>
      <c r="C102" s="56">
        <v>1.68</v>
      </c>
      <c r="D102" s="54" t="b">
        <f t="shared" si="3"/>
        <v>0</v>
      </c>
      <c r="E102" s="54" t="b">
        <f t="shared" si="4"/>
        <v>1</v>
      </c>
      <c r="F102" s="54" t="b">
        <f t="shared" si="5"/>
        <v>0</v>
      </c>
    </row>
    <row r="103" spans="1:6" hidden="1" x14ac:dyDescent="0.25">
      <c r="A103" s="48" t="s">
        <v>191</v>
      </c>
      <c r="B103" s="50" t="s">
        <v>192</v>
      </c>
      <c r="C103" s="56">
        <v>2.4</v>
      </c>
      <c r="D103" s="54" t="b">
        <f t="shared" si="3"/>
        <v>0</v>
      </c>
      <c r="E103" s="54" t="b">
        <f t="shared" si="4"/>
        <v>1</v>
      </c>
      <c r="F103" s="54" t="b">
        <f t="shared" si="5"/>
        <v>0</v>
      </c>
    </row>
    <row r="104" spans="1:6" hidden="1" x14ac:dyDescent="0.25">
      <c r="A104" s="44" t="s">
        <v>193</v>
      </c>
      <c r="B104" s="44" t="s">
        <v>194</v>
      </c>
      <c r="C104" s="56">
        <v>2.9</v>
      </c>
      <c r="D104" s="54" t="b">
        <f t="shared" si="3"/>
        <v>0</v>
      </c>
      <c r="E104" s="54" t="b">
        <f t="shared" si="4"/>
        <v>1</v>
      </c>
      <c r="F104" s="54" t="b">
        <f t="shared" si="5"/>
        <v>0</v>
      </c>
    </row>
    <row r="105" spans="1:6" hidden="1" x14ac:dyDescent="0.25">
      <c r="A105" s="48" t="s">
        <v>195</v>
      </c>
      <c r="B105" s="50" t="s">
        <v>196</v>
      </c>
      <c r="C105" s="56">
        <v>3.9</v>
      </c>
      <c r="D105" s="54" t="b">
        <f t="shared" si="3"/>
        <v>0</v>
      </c>
      <c r="E105" s="54" t="b">
        <f t="shared" si="4"/>
        <v>1</v>
      </c>
      <c r="F105" s="54" t="b">
        <f t="shared" si="5"/>
        <v>0</v>
      </c>
    </row>
    <row r="106" spans="1:6" hidden="1" x14ac:dyDescent="0.25">
      <c r="A106" s="48" t="s">
        <v>197</v>
      </c>
      <c r="B106" s="50" t="s">
        <v>198</v>
      </c>
      <c r="C106" s="56">
        <v>6.7</v>
      </c>
      <c r="D106" s="54" t="b">
        <f t="shared" si="3"/>
        <v>0</v>
      </c>
      <c r="E106" s="54" t="b">
        <f t="shared" si="4"/>
        <v>1</v>
      </c>
      <c r="F106" s="54" t="b">
        <f t="shared" si="5"/>
        <v>0</v>
      </c>
    </row>
    <row r="107" spans="1:6" hidden="1" x14ac:dyDescent="0.25">
      <c r="A107" s="48" t="s">
        <v>199</v>
      </c>
      <c r="B107" s="48" t="s">
        <v>200</v>
      </c>
      <c r="C107" s="56">
        <v>4.5</v>
      </c>
      <c r="D107" s="54" t="b">
        <f t="shared" si="3"/>
        <v>0</v>
      </c>
      <c r="E107" s="54" t="b">
        <f t="shared" si="4"/>
        <v>1</v>
      </c>
      <c r="F107" s="54" t="b">
        <f t="shared" si="5"/>
        <v>0</v>
      </c>
    </row>
    <row r="108" spans="1:6" hidden="1" x14ac:dyDescent="0.25">
      <c r="A108" s="44" t="s">
        <v>201</v>
      </c>
      <c r="B108" s="44" t="s">
        <v>202</v>
      </c>
      <c r="C108" s="56">
        <v>5.0999999999999996</v>
      </c>
      <c r="D108" s="54" t="b">
        <f t="shared" si="3"/>
        <v>0</v>
      </c>
      <c r="E108" s="54" t="b">
        <f t="shared" si="4"/>
        <v>1</v>
      </c>
      <c r="F108" s="54" t="b">
        <f t="shared" si="5"/>
        <v>0</v>
      </c>
    </row>
    <row r="109" spans="1:6" hidden="1" x14ac:dyDescent="0.25">
      <c r="A109" s="44" t="s">
        <v>203</v>
      </c>
      <c r="B109" s="48" t="s">
        <v>204</v>
      </c>
      <c r="C109" s="56">
        <v>38</v>
      </c>
      <c r="D109" s="54" t="b">
        <f t="shared" si="3"/>
        <v>0</v>
      </c>
      <c r="E109" s="54" t="b">
        <f t="shared" si="4"/>
        <v>1</v>
      </c>
      <c r="F109" s="54" t="b">
        <f t="shared" si="5"/>
        <v>0</v>
      </c>
    </row>
    <row r="110" spans="1:6" hidden="1" x14ac:dyDescent="0.25">
      <c r="A110" s="48" t="s">
        <v>205</v>
      </c>
      <c r="B110" s="48" t="s">
        <v>206</v>
      </c>
      <c r="C110" s="56">
        <v>6.3</v>
      </c>
      <c r="D110" s="54" t="b">
        <f t="shared" si="3"/>
        <v>0</v>
      </c>
      <c r="E110" s="54" t="b">
        <f t="shared" si="4"/>
        <v>1</v>
      </c>
      <c r="F110" s="54" t="b">
        <f t="shared" si="5"/>
        <v>0</v>
      </c>
    </row>
    <row r="111" spans="1:6" hidden="1" x14ac:dyDescent="0.25">
      <c r="A111" s="48" t="s">
        <v>207</v>
      </c>
      <c r="B111" s="48" t="s">
        <v>208</v>
      </c>
      <c r="C111" s="56">
        <v>9</v>
      </c>
      <c r="D111" s="54" t="b">
        <f t="shared" si="3"/>
        <v>0</v>
      </c>
      <c r="E111" s="54" t="b">
        <f t="shared" si="4"/>
        <v>1</v>
      </c>
      <c r="F111" s="54" t="b">
        <f t="shared" si="5"/>
        <v>0</v>
      </c>
    </row>
    <row r="112" spans="1:6" hidden="1" x14ac:dyDescent="0.25">
      <c r="A112" s="44" t="s">
        <v>209</v>
      </c>
      <c r="B112" s="44" t="s">
        <v>210</v>
      </c>
      <c r="C112" s="56">
        <v>0.23</v>
      </c>
      <c r="D112" s="54" t="b">
        <f t="shared" si="3"/>
        <v>0</v>
      </c>
      <c r="E112" s="54" t="b">
        <f t="shared" si="4"/>
        <v>1</v>
      </c>
      <c r="F112" s="54" t="b">
        <f t="shared" si="5"/>
        <v>0</v>
      </c>
    </row>
    <row r="113" spans="1:6" hidden="1" x14ac:dyDescent="0.25">
      <c r="A113" s="47" t="s">
        <v>211</v>
      </c>
      <c r="B113" s="49" t="s">
        <v>212</v>
      </c>
      <c r="C113" s="56">
        <v>0.32</v>
      </c>
      <c r="D113" s="54" t="b">
        <f t="shared" si="3"/>
        <v>0</v>
      </c>
      <c r="E113" s="54" t="b">
        <f t="shared" si="4"/>
        <v>1</v>
      </c>
      <c r="F113" s="54" t="b">
        <f t="shared" si="5"/>
        <v>0</v>
      </c>
    </row>
    <row r="114" spans="1:6" hidden="1" x14ac:dyDescent="0.25">
      <c r="A114" s="44" t="s">
        <v>213</v>
      </c>
      <c r="B114" s="43" t="s">
        <v>214</v>
      </c>
      <c r="C114" s="56">
        <v>0.34</v>
      </c>
      <c r="D114" s="54" t="b">
        <f t="shared" si="3"/>
        <v>0</v>
      </c>
      <c r="E114" s="54" t="b">
        <f t="shared" si="4"/>
        <v>1</v>
      </c>
      <c r="F114" s="54" t="b">
        <f t="shared" si="5"/>
        <v>0</v>
      </c>
    </row>
    <row r="115" spans="1:6" hidden="1" x14ac:dyDescent="0.25">
      <c r="A115" s="47" t="s">
        <v>215</v>
      </c>
      <c r="B115" s="49" t="s">
        <v>216</v>
      </c>
      <c r="C115" s="56">
        <v>0.3</v>
      </c>
      <c r="D115" s="54" t="b">
        <f t="shared" si="3"/>
        <v>0</v>
      </c>
      <c r="E115" s="54" t="b">
        <f t="shared" si="4"/>
        <v>1</v>
      </c>
      <c r="F115" s="54" t="b">
        <f t="shared" si="5"/>
        <v>0</v>
      </c>
    </row>
    <row r="116" spans="1:6" hidden="1" x14ac:dyDescent="0.25">
      <c r="A116" s="44" t="s">
        <v>217</v>
      </c>
      <c r="B116" s="43" t="s">
        <v>218</v>
      </c>
      <c r="C116" s="56">
        <v>0.4</v>
      </c>
      <c r="D116" s="54" t="b">
        <f t="shared" si="3"/>
        <v>0</v>
      </c>
      <c r="E116" s="54" t="b">
        <f t="shared" si="4"/>
        <v>1</v>
      </c>
      <c r="F116" s="54" t="b">
        <f t="shared" si="5"/>
        <v>0</v>
      </c>
    </row>
    <row r="117" spans="1:6" hidden="1" x14ac:dyDescent="0.25">
      <c r="A117" s="44" t="s">
        <v>219</v>
      </c>
      <c r="B117" s="43" t="s">
        <v>220</v>
      </c>
      <c r="C117" s="56">
        <v>0.35</v>
      </c>
      <c r="D117" s="54" t="b">
        <f t="shared" si="3"/>
        <v>0</v>
      </c>
      <c r="E117" s="54" t="b">
        <f t="shared" si="4"/>
        <v>1</v>
      </c>
      <c r="F117" s="54" t="b">
        <f t="shared" si="5"/>
        <v>0</v>
      </c>
    </row>
    <row r="118" spans="1:6" hidden="1" x14ac:dyDescent="0.25">
      <c r="A118" s="47" t="s">
        <v>221</v>
      </c>
      <c r="B118" s="49" t="s">
        <v>222</v>
      </c>
      <c r="C118" s="56">
        <v>0.42</v>
      </c>
      <c r="D118" s="54" t="b">
        <f t="shared" si="3"/>
        <v>0</v>
      </c>
      <c r="E118" s="54" t="b">
        <f t="shared" si="4"/>
        <v>1</v>
      </c>
      <c r="F118" s="54" t="b">
        <f t="shared" si="5"/>
        <v>0</v>
      </c>
    </row>
    <row r="119" spans="1:6" hidden="1" x14ac:dyDescent="0.25">
      <c r="A119" s="47" t="s">
        <v>223</v>
      </c>
      <c r="B119" s="49" t="s">
        <v>224</v>
      </c>
      <c r="C119" s="56">
        <v>0.41</v>
      </c>
      <c r="D119" s="54" t="b">
        <f t="shared" si="3"/>
        <v>0</v>
      </c>
      <c r="E119" s="54" t="b">
        <f t="shared" si="4"/>
        <v>1</v>
      </c>
      <c r="F119" s="54" t="b">
        <f t="shared" si="5"/>
        <v>0</v>
      </c>
    </row>
    <row r="120" spans="1:6" hidden="1" x14ac:dyDescent="0.25">
      <c r="A120" s="44" t="s">
        <v>225</v>
      </c>
      <c r="B120" s="43" t="s">
        <v>226</v>
      </c>
      <c r="C120" s="56">
        <v>0.64</v>
      </c>
      <c r="D120" s="54" t="b">
        <f t="shared" si="3"/>
        <v>0</v>
      </c>
      <c r="E120" s="54" t="b">
        <f t="shared" si="4"/>
        <v>1</v>
      </c>
      <c r="F120" s="54" t="b">
        <f t="shared" si="5"/>
        <v>0</v>
      </c>
    </row>
    <row r="121" spans="1:6" hidden="1" x14ac:dyDescent="0.25">
      <c r="A121" s="47" t="s">
        <v>227</v>
      </c>
      <c r="B121" s="49" t="s">
        <v>228</v>
      </c>
      <c r="C121" s="56">
        <v>0.98</v>
      </c>
      <c r="D121" s="54" t="b">
        <f t="shared" si="3"/>
        <v>0</v>
      </c>
      <c r="E121" s="54" t="b">
        <f t="shared" si="4"/>
        <v>1</v>
      </c>
      <c r="F121" s="54" t="b">
        <f t="shared" si="5"/>
        <v>0</v>
      </c>
    </row>
    <row r="122" spans="1:6" hidden="1" x14ac:dyDescent="0.25">
      <c r="A122" s="44" t="s">
        <v>229</v>
      </c>
      <c r="B122" s="43" t="s">
        <v>230</v>
      </c>
      <c r="C122" s="56">
        <v>4.7</v>
      </c>
      <c r="D122" s="54" t="b">
        <f t="shared" si="3"/>
        <v>0</v>
      </c>
      <c r="E122" s="54" t="b">
        <f t="shared" si="4"/>
        <v>1</v>
      </c>
      <c r="F122" s="54" t="b">
        <f t="shared" si="5"/>
        <v>0</v>
      </c>
    </row>
    <row r="123" spans="1:6" hidden="1" x14ac:dyDescent="0.25">
      <c r="A123" s="43" t="s">
        <v>231</v>
      </c>
      <c r="B123" s="43" t="s">
        <v>232</v>
      </c>
      <c r="C123" s="56">
        <v>0.3</v>
      </c>
      <c r="D123" s="54" t="b">
        <f t="shared" si="3"/>
        <v>0</v>
      </c>
      <c r="E123" s="54" t="b">
        <f t="shared" si="4"/>
        <v>1</v>
      </c>
      <c r="F123" s="54" t="b">
        <f t="shared" si="5"/>
        <v>0</v>
      </c>
    </row>
    <row r="124" spans="1:6" hidden="1" x14ac:dyDescent="0.25">
      <c r="A124" s="44" t="s">
        <v>233</v>
      </c>
      <c r="B124" s="44" t="s">
        <v>234</v>
      </c>
      <c r="C124" s="56">
        <v>0.36</v>
      </c>
      <c r="D124" s="54" t="b">
        <f t="shared" si="3"/>
        <v>0</v>
      </c>
      <c r="E124" s="54" t="b">
        <f t="shared" si="4"/>
        <v>1</v>
      </c>
      <c r="F124" s="54" t="b">
        <f t="shared" si="5"/>
        <v>0</v>
      </c>
    </row>
    <row r="125" spans="1:6" hidden="1" x14ac:dyDescent="0.25">
      <c r="A125" s="44" t="s">
        <v>235</v>
      </c>
      <c r="B125" s="44" t="s">
        <v>236</v>
      </c>
      <c r="C125" s="56">
        <v>0.47</v>
      </c>
      <c r="D125" s="54" t="b">
        <f t="shared" si="3"/>
        <v>0</v>
      </c>
      <c r="E125" s="54" t="b">
        <f t="shared" si="4"/>
        <v>1</v>
      </c>
      <c r="F125" s="54" t="b">
        <f t="shared" si="5"/>
        <v>0</v>
      </c>
    </row>
    <row r="126" spans="1:6" hidden="1" x14ac:dyDescent="0.25">
      <c r="A126" s="44" t="s">
        <v>237</v>
      </c>
      <c r="B126" s="43" t="s">
        <v>238</v>
      </c>
      <c r="C126" s="56">
        <v>0.43</v>
      </c>
      <c r="D126" s="54" t="b">
        <f t="shared" si="3"/>
        <v>0</v>
      </c>
      <c r="E126" s="54" t="b">
        <f t="shared" si="4"/>
        <v>1</v>
      </c>
      <c r="F126" s="54" t="b">
        <f t="shared" si="5"/>
        <v>0</v>
      </c>
    </row>
    <row r="127" spans="1:6" hidden="1" x14ac:dyDescent="0.25">
      <c r="A127" s="44" t="s">
        <v>239</v>
      </c>
      <c r="B127" s="44" t="s">
        <v>240</v>
      </c>
      <c r="C127" s="56">
        <v>1.2</v>
      </c>
      <c r="D127" s="54" t="b">
        <f t="shared" si="3"/>
        <v>0</v>
      </c>
      <c r="E127" s="54" t="b">
        <f t="shared" si="4"/>
        <v>1</v>
      </c>
      <c r="F127" s="54" t="b">
        <f t="shared" si="5"/>
        <v>0</v>
      </c>
    </row>
    <row r="128" spans="1:6" hidden="1" x14ac:dyDescent="0.25">
      <c r="A128" s="44" t="s">
        <v>241</v>
      </c>
      <c r="B128" s="43" t="s">
        <v>242</v>
      </c>
      <c r="C128" s="56">
        <v>0.98</v>
      </c>
      <c r="D128" s="54" t="b">
        <f t="shared" si="3"/>
        <v>0</v>
      </c>
      <c r="E128" s="54" t="b">
        <f t="shared" si="4"/>
        <v>1</v>
      </c>
      <c r="F128" s="54" t="b">
        <f t="shared" si="5"/>
        <v>0</v>
      </c>
    </row>
    <row r="129" spans="1:6" hidden="1" x14ac:dyDescent="0.25">
      <c r="A129" s="48" t="s">
        <v>243</v>
      </c>
      <c r="B129" s="48" t="s">
        <v>244</v>
      </c>
      <c r="C129" s="56">
        <v>3.3</v>
      </c>
      <c r="D129" s="54" t="b">
        <f t="shared" si="3"/>
        <v>0</v>
      </c>
      <c r="E129" s="54" t="b">
        <f t="shared" si="4"/>
        <v>1</v>
      </c>
      <c r="F129" s="54" t="b">
        <f t="shared" si="5"/>
        <v>0</v>
      </c>
    </row>
    <row r="130" spans="1:6" hidden="1" x14ac:dyDescent="0.25">
      <c r="A130" s="44" t="s">
        <v>245</v>
      </c>
      <c r="B130" s="44" t="s">
        <v>246</v>
      </c>
      <c r="C130" s="56">
        <v>0.34</v>
      </c>
      <c r="D130" s="54" t="b">
        <f t="shared" si="3"/>
        <v>0</v>
      </c>
      <c r="E130" s="54" t="b">
        <f t="shared" si="4"/>
        <v>1</v>
      </c>
      <c r="F130" s="54" t="b">
        <f t="shared" si="5"/>
        <v>0</v>
      </c>
    </row>
    <row r="131" spans="1:6" hidden="1" x14ac:dyDescent="0.25">
      <c r="A131" s="47" t="s">
        <v>247</v>
      </c>
      <c r="B131" s="49" t="s">
        <v>248</v>
      </c>
      <c r="C131" s="56">
        <v>0.45</v>
      </c>
      <c r="D131" s="54" t="b">
        <f t="shared" ref="D131:D194" si="6">NOT(ISNUMBER(SEARCH("O",B131)))</f>
        <v>0</v>
      </c>
      <c r="E131" s="54" t="b">
        <f t="shared" ref="E131:E194" si="7">NOT(ISNUMBER(SEARCH("S",B131)))</f>
        <v>1</v>
      </c>
      <c r="F131" s="54" t="b">
        <f t="shared" ref="F131:F194" si="8">AND(D131,E131)</f>
        <v>0</v>
      </c>
    </row>
    <row r="132" spans="1:6" hidden="1" x14ac:dyDescent="0.25">
      <c r="A132" s="47" t="s">
        <v>249</v>
      </c>
      <c r="B132" s="49" t="s">
        <v>250</v>
      </c>
      <c r="C132" s="56">
        <v>0.44</v>
      </c>
      <c r="D132" s="54" t="b">
        <f t="shared" si="6"/>
        <v>0</v>
      </c>
      <c r="E132" s="54" t="b">
        <f t="shared" si="7"/>
        <v>1</v>
      </c>
      <c r="F132" s="54" t="b">
        <f t="shared" si="8"/>
        <v>0</v>
      </c>
    </row>
    <row r="133" spans="1:6" hidden="1" x14ac:dyDescent="0.25">
      <c r="A133" s="47" t="s">
        <v>251</v>
      </c>
      <c r="B133" s="49" t="s">
        <v>252</v>
      </c>
      <c r="C133" s="56">
        <v>1.2</v>
      </c>
      <c r="D133" s="54" t="b">
        <f t="shared" si="6"/>
        <v>0</v>
      </c>
      <c r="E133" s="54" t="b">
        <f t="shared" si="7"/>
        <v>1</v>
      </c>
      <c r="F133" s="54" t="b">
        <f t="shared" si="8"/>
        <v>0</v>
      </c>
    </row>
    <row r="134" spans="1:6" hidden="1" x14ac:dyDescent="0.25">
      <c r="A134" s="47" t="s">
        <v>253</v>
      </c>
      <c r="B134" s="49" t="s">
        <v>254</v>
      </c>
      <c r="C134" s="56">
        <v>1.1000000000000001</v>
      </c>
      <c r="D134" s="54" t="b">
        <f t="shared" si="6"/>
        <v>0</v>
      </c>
      <c r="E134" s="54" t="b">
        <f t="shared" si="7"/>
        <v>1</v>
      </c>
      <c r="F134" s="54" t="b">
        <f t="shared" si="8"/>
        <v>0</v>
      </c>
    </row>
    <row r="135" spans="1:6" hidden="1" x14ac:dyDescent="0.25">
      <c r="A135" s="47" t="s">
        <v>255</v>
      </c>
      <c r="B135" s="49" t="s">
        <v>256</v>
      </c>
      <c r="C135" s="56">
        <v>0.68</v>
      </c>
      <c r="D135" s="54" t="b">
        <f t="shared" si="6"/>
        <v>0</v>
      </c>
      <c r="E135" s="54" t="b">
        <f t="shared" si="7"/>
        <v>1</v>
      </c>
      <c r="F135" s="54" t="b">
        <f t="shared" si="8"/>
        <v>0</v>
      </c>
    </row>
    <row r="136" spans="1:6" hidden="1" x14ac:dyDescent="0.25">
      <c r="A136" s="44" t="s">
        <v>257</v>
      </c>
      <c r="B136" s="43" t="s">
        <v>258</v>
      </c>
      <c r="C136" s="56">
        <v>1.3</v>
      </c>
      <c r="D136" s="54" t="b">
        <f t="shared" si="6"/>
        <v>0</v>
      </c>
      <c r="E136" s="54" t="b">
        <f t="shared" si="7"/>
        <v>1</v>
      </c>
      <c r="F136" s="54" t="b">
        <f t="shared" si="8"/>
        <v>0</v>
      </c>
    </row>
    <row r="137" spans="1:6" hidden="1" x14ac:dyDescent="0.25">
      <c r="A137" s="44" t="s">
        <v>259</v>
      </c>
      <c r="B137" s="43" t="s">
        <v>260</v>
      </c>
      <c r="C137" s="56">
        <v>1</v>
      </c>
      <c r="D137" s="54" t="b">
        <f t="shared" si="6"/>
        <v>0</v>
      </c>
      <c r="E137" s="54" t="b">
        <f t="shared" si="7"/>
        <v>1</v>
      </c>
      <c r="F137" s="54" t="b">
        <f t="shared" si="8"/>
        <v>0</v>
      </c>
    </row>
    <row r="138" spans="1:6" hidden="1" x14ac:dyDescent="0.25">
      <c r="A138" s="47" t="s">
        <v>261</v>
      </c>
      <c r="B138" s="49" t="s">
        <v>262</v>
      </c>
      <c r="C138" s="56">
        <v>1.2</v>
      </c>
      <c r="D138" s="54" t="b">
        <f t="shared" si="6"/>
        <v>0</v>
      </c>
      <c r="E138" s="54" t="b">
        <f t="shared" si="7"/>
        <v>1</v>
      </c>
      <c r="F138" s="54" t="b">
        <f t="shared" si="8"/>
        <v>0</v>
      </c>
    </row>
    <row r="139" spans="1:6" hidden="1" x14ac:dyDescent="0.25">
      <c r="A139" s="47" t="s">
        <v>263</v>
      </c>
      <c r="B139" s="49" t="s">
        <v>264</v>
      </c>
      <c r="C139" s="56">
        <v>1.4</v>
      </c>
      <c r="D139" s="54" t="b">
        <f t="shared" si="6"/>
        <v>0</v>
      </c>
      <c r="E139" s="54" t="b">
        <f t="shared" si="7"/>
        <v>1</v>
      </c>
      <c r="F139" s="54" t="b">
        <f t="shared" si="8"/>
        <v>0</v>
      </c>
    </row>
    <row r="140" spans="1:6" hidden="1" x14ac:dyDescent="0.25">
      <c r="A140" s="43" t="s">
        <v>265</v>
      </c>
      <c r="B140" s="43" t="s">
        <v>266</v>
      </c>
      <c r="C140" s="56">
        <v>0.42</v>
      </c>
      <c r="D140" s="54" t="b">
        <f t="shared" si="6"/>
        <v>0</v>
      </c>
      <c r="E140" s="54" t="b">
        <f t="shared" si="7"/>
        <v>1</v>
      </c>
      <c r="F140" s="54" t="b">
        <f t="shared" si="8"/>
        <v>0</v>
      </c>
    </row>
    <row r="141" spans="1:6" hidden="1" x14ac:dyDescent="0.25">
      <c r="A141" s="43" t="s">
        <v>267</v>
      </c>
      <c r="B141" s="43" t="s">
        <v>268</v>
      </c>
      <c r="C141" s="56">
        <v>0.52</v>
      </c>
      <c r="D141" s="54" t="b">
        <f t="shared" si="6"/>
        <v>0</v>
      </c>
      <c r="E141" s="54" t="b">
        <f t="shared" si="7"/>
        <v>1</v>
      </c>
      <c r="F141" s="54" t="b">
        <f t="shared" si="8"/>
        <v>0</v>
      </c>
    </row>
    <row r="142" spans="1:6" hidden="1" x14ac:dyDescent="0.25">
      <c r="A142" s="47" t="s">
        <v>269</v>
      </c>
      <c r="B142" s="49" t="s">
        <v>270</v>
      </c>
      <c r="C142" s="56">
        <v>0.53</v>
      </c>
      <c r="D142" s="54" t="b">
        <f t="shared" si="6"/>
        <v>0</v>
      </c>
      <c r="E142" s="54" t="b">
        <f t="shared" si="7"/>
        <v>1</v>
      </c>
      <c r="F142" s="54" t="b">
        <f t="shared" si="8"/>
        <v>0</v>
      </c>
    </row>
    <row r="143" spans="1:6" hidden="1" x14ac:dyDescent="0.25">
      <c r="A143" s="47" t="s">
        <v>271</v>
      </c>
      <c r="B143" s="49" t="s">
        <v>272</v>
      </c>
      <c r="C143" s="56">
        <v>1.6</v>
      </c>
      <c r="D143" s="54" t="b">
        <f t="shared" si="6"/>
        <v>0</v>
      </c>
      <c r="E143" s="54" t="b">
        <f t="shared" si="7"/>
        <v>1</v>
      </c>
      <c r="F143" s="54" t="b">
        <f t="shared" si="8"/>
        <v>0</v>
      </c>
    </row>
    <row r="144" spans="1:6" hidden="1" x14ac:dyDescent="0.25">
      <c r="A144" s="44" t="s">
        <v>273</v>
      </c>
      <c r="B144" s="44" t="s">
        <v>274</v>
      </c>
      <c r="C144" s="56">
        <v>1.4</v>
      </c>
      <c r="D144" s="54" t="b">
        <f t="shared" si="6"/>
        <v>0</v>
      </c>
      <c r="E144" s="54" t="b">
        <f t="shared" si="7"/>
        <v>1</v>
      </c>
      <c r="F144" s="54" t="b">
        <f t="shared" si="8"/>
        <v>0</v>
      </c>
    </row>
    <row r="145" spans="1:6" hidden="1" x14ac:dyDescent="0.25">
      <c r="A145" s="47" t="s">
        <v>275</v>
      </c>
      <c r="B145" s="49" t="s">
        <v>276</v>
      </c>
      <c r="C145" s="56">
        <v>2.5</v>
      </c>
      <c r="D145" s="54" t="b">
        <f t="shared" si="6"/>
        <v>0</v>
      </c>
      <c r="E145" s="54" t="b">
        <f t="shared" si="7"/>
        <v>1</v>
      </c>
      <c r="F145" s="54" t="b">
        <f t="shared" si="8"/>
        <v>0</v>
      </c>
    </row>
    <row r="146" spans="1:6" hidden="1" x14ac:dyDescent="0.25">
      <c r="A146" s="44" t="s">
        <v>277</v>
      </c>
      <c r="B146" s="44" t="s">
        <v>278</v>
      </c>
      <c r="C146" s="56">
        <v>0.31</v>
      </c>
      <c r="D146" s="54" t="b">
        <f t="shared" si="6"/>
        <v>0</v>
      </c>
      <c r="E146" s="54" t="b">
        <f t="shared" si="7"/>
        <v>1</v>
      </c>
      <c r="F146" s="54" t="b">
        <f t="shared" si="8"/>
        <v>0</v>
      </c>
    </row>
    <row r="147" spans="1:6" hidden="1" x14ac:dyDescent="0.25">
      <c r="A147" s="44" t="s">
        <v>279</v>
      </c>
      <c r="B147" s="44" t="s">
        <v>280</v>
      </c>
      <c r="C147" s="56">
        <v>0.4</v>
      </c>
      <c r="D147" s="54" t="b">
        <f t="shared" si="6"/>
        <v>0</v>
      </c>
      <c r="E147" s="54" t="b">
        <f t="shared" si="7"/>
        <v>1</v>
      </c>
      <c r="F147" s="54" t="b">
        <f t="shared" si="8"/>
        <v>0</v>
      </c>
    </row>
    <row r="148" spans="1:6" hidden="1" x14ac:dyDescent="0.25">
      <c r="A148" s="44" t="s">
        <v>587</v>
      </c>
      <c r="B148" s="44" t="s">
        <v>588</v>
      </c>
      <c r="C148" s="50">
        <v>0.47</v>
      </c>
      <c r="D148" s="54" t="b">
        <f t="shared" si="6"/>
        <v>0</v>
      </c>
      <c r="E148" s="54" t="b">
        <f t="shared" si="7"/>
        <v>1</v>
      </c>
      <c r="F148" s="54" t="b">
        <f t="shared" si="8"/>
        <v>0</v>
      </c>
    </row>
    <row r="149" spans="1:6" hidden="1" x14ac:dyDescent="0.25">
      <c r="A149" s="44" t="s">
        <v>589</v>
      </c>
      <c r="B149" s="44" t="s">
        <v>590</v>
      </c>
      <c r="C149" s="50">
        <v>0.57999999999999996</v>
      </c>
      <c r="D149" s="54" t="b">
        <f t="shared" si="6"/>
        <v>0</v>
      </c>
      <c r="E149" s="54" t="b">
        <f t="shared" si="7"/>
        <v>1</v>
      </c>
      <c r="F149" s="54" t="b">
        <f t="shared" si="8"/>
        <v>0</v>
      </c>
    </row>
    <row r="150" spans="1:6" hidden="1" x14ac:dyDescent="0.25">
      <c r="A150" s="44" t="s">
        <v>281</v>
      </c>
      <c r="B150" s="44" t="s">
        <v>282</v>
      </c>
      <c r="C150" s="56">
        <v>0.54</v>
      </c>
      <c r="D150" s="54" t="b">
        <f t="shared" si="6"/>
        <v>0</v>
      </c>
      <c r="E150" s="54" t="b">
        <f t="shared" si="7"/>
        <v>1</v>
      </c>
      <c r="F150" s="54" t="b">
        <f t="shared" si="8"/>
        <v>0</v>
      </c>
    </row>
    <row r="151" spans="1:6" hidden="1" x14ac:dyDescent="0.25">
      <c r="A151" s="44" t="s">
        <v>283</v>
      </c>
      <c r="B151" s="44" t="s">
        <v>284</v>
      </c>
      <c r="C151" s="56">
        <v>0.61</v>
      </c>
      <c r="D151" s="54" t="b">
        <f t="shared" si="6"/>
        <v>0</v>
      </c>
      <c r="E151" s="54" t="b">
        <f t="shared" si="7"/>
        <v>1</v>
      </c>
      <c r="F151" s="54" t="b">
        <f t="shared" si="8"/>
        <v>0</v>
      </c>
    </row>
    <row r="152" spans="1:6" hidden="1" x14ac:dyDescent="0.25">
      <c r="A152" s="44" t="s">
        <v>285</v>
      </c>
      <c r="B152" s="44" t="s">
        <v>286</v>
      </c>
      <c r="C152" s="56">
        <v>3.3</v>
      </c>
      <c r="D152" s="54" t="b">
        <f t="shared" si="6"/>
        <v>0</v>
      </c>
      <c r="E152" s="54" t="b">
        <f t="shared" si="7"/>
        <v>1</v>
      </c>
      <c r="F152" s="54" t="b">
        <f t="shared" si="8"/>
        <v>0</v>
      </c>
    </row>
    <row r="153" spans="1:6" hidden="1" x14ac:dyDescent="0.25">
      <c r="A153" s="44" t="s">
        <v>591</v>
      </c>
      <c r="B153" s="44" t="s">
        <v>592</v>
      </c>
      <c r="C153" s="56">
        <v>0.76</v>
      </c>
      <c r="D153" s="54" t="b">
        <f t="shared" si="6"/>
        <v>0</v>
      </c>
      <c r="E153" s="54" t="b">
        <f t="shared" si="7"/>
        <v>1</v>
      </c>
      <c r="F153" s="54" t="b">
        <f t="shared" si="8"/>
        <v>0</v>
      </c>
    </row>
    <row r="154" spans="1:6" hidden="1" x14ac:dyDescent="0.25">
      <c r="A154" s="44" t="s">
        <v>287</v>
      </c>
      <c r="B154" s="44" t="s">
        <v>288</v>
      </c>
      <c r="C154" s="56">
        <v>0.75</v>
      </c>
      <c r="D154" s="54" t="b">
        <f t="shared" si="6"/>
        <v>0</v>
      </c>
      <c r="E154" s="54" t="b">
        <f t="shared" si="7"/>
        <v>1</v>
      </c>
      <c r="F154" s="54" t="b">
        <f t="shared" si="8"/>
        <v>0</v>
      </c>
    </row>
    <row r="155" spans="1:6" hidden="1" x14ac:dyDescent="0.25">
      <c r="A155" s="44" t="s">
        <v>593</v>
      </c>
      <c r="B155" s="44" t="s">
        <v>594</v>
      </c>
      <c r="C155" s="56">
        <v>0.95</v>
      </c>
      <c r="D155" s="54" t="b">
        <f t="shared" si="6"/>
        <v>0</v>
      </c>
      <c r="E155" s="54" t="b">
        <f t="shared" si="7"/>
        <v>1</v>
      </c>
      <c r="F155" s="54" t="b">
        <f t="shared" si="8"/>
        <v>0</v>
      </c>
    </row>
    <row r="156" spans="1:6" hidden="1" x14ac:dyDescent="0.25">
      <c r="A156" s="44" t="s">
        <v>595</v>
      </c>
      <c r="B156" s="44" t="s">
        <v>596</v>
      </c>
      <c r="C156" s="56">
        <v>1.2</v>
      </c>
      <c r="D156" s="54" t="b">
        <f t="shared" si="6"/>
        <v>0</v>
      </c>
      <c r="E156" s="54" t="b">
        <f t="shared" si="7"/>
        <v>1</v>
      </c>
      <c r="F156" s="54" t="b">
        <f t="shared" si="8"/>
        <v>0</v>
      </c>
    </row>
    <row r="157" spans="1:6" hidden="1" x14ac:dyDescent="0.25">
      <c r="A157" s="44" t="s">
        <v>289</v>
      </c>
      <c r="B157" s="44" t="s">
        <v>290</v>
      </c>
      <c r="C157" s="56">
        <v>0.84</v>
      </c>
      <c r="D157" s="54" t="b">
        <f t="shared" si="6"/>
        <v>0</v>
      </c>
      <c r="E157" s="54" t="b">
        <f t="shared" si="7"/>
        <v>1</v>
      </c>
      <c r="F157" s="54" t="b">
        <f t="shared" si="8"/>
        <v>0</v>
      </c>
    </row>
    <row r="158" spans="1:6" hidden="1" x14ac:dyDescent="0.25">
      <c r="A158" s="44" t="s">
        <v>597</v>
      </c>
      <c r="B158" s="44" t="s">
        <v>598</v>
      </c>
      <c r="C158" s="56">
        <v>1.9</v>
      </c>
      <c r="D158" s="54" t="b">
        <f t="shared" si="6"/>
        <v>0</v>
      </c>
      <c r="E158" s="54" t="b">
        <f t="shared" si="7"/>
        <v>1</v>
      </c>
      <c r="F158" s="54" t="b">
        <f t="shared" si="8"/>
        <v>0</v>
      </c>
    </row>
    <row r="159" spans="1:6" hidden="1" x14ac:dyDescent="0.25">
      <c r="A159" s="44" t="s">
        <v>291</v>
      </c>
      <c r="B159" s="43" t="s">
        <v>292</v>
      </c>
      <c r="C159" s="56">
        <v>1.1000000000000001</v>
      </c>
      <c r="D159" s="54" t="b">
        <f t="shared" si="6"/>
        <v>0</v>
      </c>
      <c r="E159" s="54" t="b">
        <f t="shared" si="7"/>
        <v>1</v>
      </c>
      <c r="F159" s="54" t="b">
        <f t="shared" si="8"/>
        <v>0</v>
      </c>
    </row>
    <row r="160" spans="1:6" hidden="1" x14ac:dyDescent="0.25">
      <c r="A160" s="44" t="s">
        <v>293</v>
      </c>
      <c r="B160" s="44" t="s">
        <v>294</v>
      </c>
      <c r="C160" s="56">
        <v>2</v>
      </c>
      <c r="D160" s="54" t="b">
        <f t="shared" si="6"/>
        <v>0</v>
      </c>
      <c r="E160" s="54" t="b">
        <f t="shared" si="7"/>
        <v>1</v>
      </c>
      <c r="F160" s="54" t="b">
        <f t="shared" si="8"/>
        <v>0</v>
      </c>
    </row>
    <row r="161" spans="1:6" hidden="1" x14ac:dyDescent="0.25">
      <c r="A161" s="44" t="s">
        <v>295</v>
      </c>
      <c r="B161" s="44" t="s">
        <v>296</v>
      </c>
      <c r="C161" s="56">
        <v>2.2999999999999998</v>
      </c>
      <c r="D161" s="54" t="b">
        <f t="shared" si="6"/>
        <v>0</v>
      </c>
      <c r="E161" s="54" t="b">
        <f t="shared" si="7"/>
        <v>1</v>
      </c>
      <c r="F161" s="54" t="b">
        <f t="shared" si="8"/>
        <v>0</v>
      </c>
    </row>
    <row r="162" spans="1:6" hidden="1" x14ac:dyDescent="0.25">
      <c r="A162" s="44" t="s">
        <v>297</v>
      </c>
      <c r="B162" s="44" t="s">
        <v>298</v>
      </c>
      <c r="C162" s="56">
        <v>1.6</v>
      </c>
      <c r="D162" s="54" t="b">
        <f t="shared" si="6"/>
        <v>0</v>
      </c>
      <c r="E162" s="54" t="b">
        <f t="shared" si="7"/>
        <v>1</v>
      </c>
      <c r="F162" s="54" t="b">
        <f t="shared" si="8"/>
        <v>0</v>
      </c>
    </row>
    <row r="163" spans="1:6" hidden="1" x14ac:dyDescent="0.25">
      <c r="A163" s="44" t="s">
        <v>299</v>
      </c>
      <c r="B163" s="44" t="s">
        <v>300</v>
      </c>
      <c r="C163" s="56">
        <v>1.1000000000000001</v>
      </c>
      <c r="D163" s="54" t="b">
        <f t="shared" si="6"/>
        <v>0</v>
      </c>
      <c r="E163" s="54" t="b">
        <f t="shared" si="7"/>
        <v>1</v>
      </c>
      <c r="F163" s="54" t="b">
        <f t="shared" si="8"/>
        <v>0</v>
      </c>
    </row>
    <row r="164" spans="1:6" hidden="1" x14ac:dyDescent="0.25">
      <c r="A164" s="43" t="s">
        <v>301</v>
      </c>
      <c r="B164" s="43" t="s">
        <v>302</v>
      </c>
      <c r="C164" s="56">
        <v>1</v>
      </c>
      <c r="D164" s="54" t="b">
        <f t="shared" si="6"/>
        <v>0</v>
      </c>
      <c r="E164" s="54" t="b">
        <f t="shared" si="7"/>
        <v>1</v>
      </c>
      <c r="F164" s="54" t="b">
        <f t="shared" si="8"/>
        <v>0</v>
      </c>
    </row>
    <row r="165" spans="1:6" hidden="1" x14ac:dyDescent="0.25">
      <c r="A165" s="43" t="s">
        <v>303</v>
      </c>
      <c r="B165" s="43" t="s">
        <v>304</v>
      </c>
      <c r="C165" s="56">
        <v>1.2</v>
      </c>
      <c r="D165" s="54" t="b">
        <f t="shared" si="6"/>
        <v>0</v>
      </c>
      <c r="E165" s="54" t="b">
        <f t="shared" si="7"/>
        <v>1</v>
      </c>
      <c r="F165" s="54" t="b">
        <f t="shared" si="8"/>
        <v>0</v>
      </c>
    </row>
    <row r="166" spans="1:6" hidden="1" x14ac:dyDescent="0.25">
      <c r="A166" s="44" t="s">
        <v>305</v>
      </c>
      <c r="B166" s="44" t="s">
        <v>306</v>
      </c>
      <c r="C166" s="56">
        <v>1.5</v>
      </c>
      <c r="D166" s="54" t="b">
        <f t="shared" si="6"/>
        <v>0</v>
      </c>
      <c r="E166" s="54" t="b">
        <f t="shared" si="7"/>
        <v>1</v>
      </c>
      <c r="F166" s="54" t="b">
        <f t="shared" si="8"/>
        <v>0</v>
      </c>
    </row>
    <row r="167" spans="1:6" hidden="1" x14ac:dyDescent="0.25">
      <c r="A167" s="43" t="s">
        <v>307</v>
      </c>
      <c r="B167" s="43" t="s">
        <v>308</v>
      </c>
      <c r="C167" s="56">
        <v>1.2</v>
      </c>
      <c r="D167" s="54" t="b">
        <f t="shared" si="6"/>
        <v>0</v>
      </c>
      <c r="E167" s="54" t="b">
        <f t="shared" si="7"/>
        <v>1</v>
      </c>
      <c r="F167" s="54" t="b">
        <f t="shared" si="8"/>
        <v>0</v>
      </c>
    </row>
    <row r="168" spans="1:6" hidden="1" x14ac:dyDescent="0.25">
      <c r="A168" s="47" t="s">
        <v>309</v>
      </c>
      <c r="B168" s="49" t="s">
        <v>310</v>
      </c>
      <c r="C168" s="56">
        <v>1.4</v>
      </c>
      <c r="D168" s="54" t="b">
        <f t="shared" si="6"/>
        <v>0</v>
      </c>
      <c r="E168" s="54" t="b">
        <f t="shared" si="7"/>
        <v>1</v>
      </c>
      <c r="F168" s="54" t="b">
        <f t="shared" si="8"/>
        <v>0</v>
      </c>
    </row>
    <row r="169" spans="1:6" hidden="1" x14ac:dyDescent="0.25">
      <c r="A169" s="43" t="s">
        <v>311</v>
      </c>
      <c r="B169" s="43" t="s">
        <v>312</v>
      </c>
      <c r="C169" s="56">
        <v>1.4</v>
      </c>
      <c r="D169" s="54" t="b">
        <f t="shared" si="6"/>
        <v>0</v>
      </c>
      <c r="E169" s="54" t="b">
        <f t="shared" si="7"/>
        <v>1</v>
      </c>
      <c r="F169" s="54" t="b">
        <f t="shared" si="8"/>
        <v>0</v>
      </c>
    </row>
    <row r="170" spans="1:6" hidden="1" x14ac:dyDescent="0.25">
      <c r="A170" s="43" t="s">
        <v>313</v>
      </c>
      <c r="B170" s="43" t="s">
        <v>314</v>
      </c>
      <c r="C170" s="56">
        <v>2</v>
      </c>
      <c r="D170" s="54" t="b">
        <f t="shared" si="6"/>
        <v>0</v>
      </c>
      <c r="E170" s="54" t="b">
        <f t="shared" si="7"/>
        <v>1</v>
      </c>
      <c r="F170" s="54" t="b">
        <f t="shared" si="8"/>
        <v>0</v>
      </c>
    </row>
    <row r="171" spans="1:6" hidden="1" x14ac:dyDescent="0.25">
      <c r="A171" s="43" t="s">
        <v>315</v>
      </c>
      <c r="B171" s="43" t="s">
        <v>316</v>
      </c>
      <c r="C171" s="56">
        <v>2</v>
      </c>
      <c r="D171" s="54" t="b">
        <f t="shared" si="6"/>
        <v>0</v>
      </c>
      <c r="E171" s="54" t="b">
        <f t="shared" si="7"/>
        <v>1</v>
      </c>
      <c r="F171" s="54" t="b">
        <f t="shared" si="8"/>
        <v>0</v>
      </c>
    </row>
    <row r="172" spans="1:6" hidden="1" x14ac:dyDescent="0.25">
      <c r="A172" s="43" t="s">
        <v>317</v>
      </c>
      <c r="B172" s="43" t="s">
        <v>318</v>
      </c>
      <c r="C172" s="56">
        <v>2.9</v>
      </c>
      <c r="D172" s="54" t="b">
        <f t="shared" si="6"/>
        <v>0</v>
      </c>
      <c r="E172" s="54" t="b">
        <f t="shared" si="7"/>
        <v>1</v>
      </c>
      <c r="F172" s="54" t="b">
        <f t="shared" si="8"/>
        <v>0</v>
      </c>
    </row>
    <row r="173" spans="1:6" hidden="1" x14ac:dyDescent="0.25">
      <c r="A173" s="43" t="s">
        <v>319</v>
      </c>
      <c r="B173" s="43" t="s">
        <v>320</v>
      </c>
      <c r="C173" s="56">
        <v>3.8</v>
      </c>
      <c r="D173" s="54" t="b">
        <f t="shared" si="6"/>
        <v>0</v>
      </c>
      <c r="E173" s="54" t="b">
        <f t="shared" si="7"/>
        <v>1</v>
      </c>
      <c r="F173" s="54" t="b">
        <f t="shared" si="8"/>
        <v>0</v>
      </c>
    </row>
    <row r="174" spans="1:6" hidden="1" x14ac:dyDescent="0.25">
      <c r="A174" s="43" t="s">
        <v>321</v>
      </c>
      <c r="B174" s="43" t="s">
        <v>322</v>
      </c>
      <c r="C174" s="56">
        <v>5.3</v>
      </c>
      <c r="D174" s="54" t="b">
        <f t="shared" si="6"/>
        <v>0</v>
      </c>
      <c r="E174" s="54" t="b">
        <f t="shared" si="7"/>
        <v>1</v>
      </c>
      <c r="F174" s="54" t="b">
        <f t="shared" si="8"/>
        <v>0</v>
      </c>
    </row>
    <row r="175" spans="1:6" hidden="1" x14ac:dyDescent="0.25">
      <c r="A175" s="43" t="s">
        <v>323</v>
      </c>
      <c r="B175" s="43" t="s">
        <v>324</v>
      </c>
      <c r="C175" s="56">
        <v>7.4</v>
      </c>
      <c r="D175" s="54" t="b">
        <f t="shared" si="6"/>
        <v>0</v>
      </c>
      <c r="E175" s="54" t="b">
        <f t="shared" si="7"/>
        <v>1</v>
      </c>
      <c r="F175" s="54" t="b">
        <f t="shared" si="8"/>
        <v>0</v>
      </c>
    </row>
    <row r="176" spans="1:6" hidden="1" x14ac:dyDescent="0.25">
      <c r="A176" s="43" t="s">
        <v>325</v>
      </c>
      <c r="B176" s="43" t="s">
        <v>326</v>
      </c>
      <c r="C176" s="56">
        <v>28.4</v>
      </c>
      <c r="D176" s="54" t="b">
        <f t="shared" si="6"/>
        <v>0</v>
      </c>
      <c r="E176" s="54" t="b">
        <f t="shared" si="7"/>
        <v>1</v>
      </c>
      <c r="F176" s="54" t="b">
        <f t="shared" si="8"/>
        <v>0</v>
      </c>
    </row>
    <row r="177" spans="1:6" hidden="1" x14ac:dyDescent="0.25">
      <c r="A177" s="44" t="s">
        <v>327</v>
      </c>
      <c r="B177" s="43" t="s">
        <v>328</v>
      </c>
      <c r="C177" s="56">
        <v>0.33</v>
      </c>
      <c r="D177" s="54" t="b">
        <f t="shared" si="6"/>
        <v>0</v>
      </c>
      <c r="E177" s="54" t="b">
        <f t="shared" si="7"/>
        <v>1</v>
      </c>
      <c r="F177" s="54" t="b">
        <f t="shared" si="8"/>
        <v>0</v>
      </c>
    </row>
    <row r="178" spans="1:6" hidden="1" x14ac:dyDescent="0.25">
      <c r="A178" s="44" t="s">
        <v>329</v>
      </c>
      <c r="B178" s="43" t="s">
        <v>330</v>
      </c>
      <c r="C178" s="56">
        <v>0.38</v>
      </c>
      <c r="D178" s="54" t="b">
        <f t="shared" si="6"/>
        <v>0</v>
      </c>
      <c r="E178" s="54" t="b">
        <f t="shared" si="7"/>
        <v>1</v>
      </c>
      <c r="F178" s="54" t="b">
        <f t="shared" si="8"/>
        <v>0</v>
      </c>
    </row>
    <row r="179" spans="1:6" hidden="1" x14ac:dyDescent="0.25">
      <c r="A179" s="44" t="s">
        <v>331</v>
      </c>
      <c r="B179" s="43" t="s">
        <v>332</v>
      </c>
      <c r="C179" s="56">
        <v>0.49</v>
      </c>
      <c r="D179" s="54" t="b">
        <f t="shared" si="6"/>
        <v>0</v>
      </c>
      <c r="E179" s="54" t="b">
        <f t="shared" si="7"/>
        <v>1</v>
      </c>
      <c r="F179" s="54" t="b">
        <f t="shared" si="8"/>
        <v>0</v>
      </c>
    </row>
    <row r="180" spans="1:6" hidden="1" x14ac:dyDescent="0.25">
      <c r="A180" s="47" t="s">
        <v>333</v>
      </c>
      <c r="B180" s="49" t="s">
        <v>334</v>
      </c>
      <c r="C180" s="56">
        <v>0.34</v>
      </c>
      <c r="D180" s="54" t="b">
        <f t="shared" si="6"/>
        <v>0</v>
      </c>
      <c r="E180" s="54" t="b">
        <f t="shared" si="7"/>
        <v>1</v>
      </c>
      <c r="F180" s="54" t="b">
        <f t="shared" si="8"/>
        <v>0</v>
      </c>
    </row>
    <row r="181" spans="1:6" hidden="1" x14ac:dyDescent="0.25">
      <c r="A181" s="43" t="s">
        <v>335</v>
      </c>
      <c r="B181" s="43" t="s">
        <v>336</v>
      </c>
      <c r="C181" s="56">
        <v>0.64</v>
      </c>
      <c r="D181" s="54" t="b">
        <f t="shared" si="6"/>
        <v>0</v>
      </c>
      <c r="E181" s="54" t="b">
        <f t="shared" si="7"/>
        <v>1</v>
      </c>
      <c r="F181" s="54" t="b">
        <f t="shared" si="8"/>
        <v>0</v>
      </c>
    </row>
    <row r="182" spans="1:6" hidden="1" x14ac:dyDescent="0.25">
      <c r="A182" s="43" t="s">
        <v>337</v>
      </c>
      <c r="B182" s="43" t="s">
        <v>338</v>
      </c>
      <c r="C182" s="56">
        <v>0.62</v>
      </c>
      <c r="D182" s="54" t="b">
        <f t="shared" si="6"/>
        <v>0</v>
      </c>
      <c r="E182" s="54" t="b">
        <f t="shared" si="7"/>
        <v>1</v>
      </c>
      <c r="F182" s="54" t="b">
        <f t="shared" si="8"/>
        <v>0</v>
      </c>
    </row>
    <row r="183" spans="1:6" hidden="1" x14ac:dyDescent="0.25">
      <c r="A183" s="43" t="s">
        <v>339</v>
      </c>
      <c r="B183" s="43" t="s">
        <v>340</v>
      </c>
      <c r="C183" s="56">
        <v>0.78</v>
      </c>
      <c r="D183" s="54" t="b">
        <f t="shared" si="6"/>
        <v>0</v>
      </c>
      <c r="E183" s="54" t="b">
        <f t="shared" si="7"/>
        <v>1</v>
      </c>
      <c r="F183" s="54" t="b">
        <f t="shared" si="8"/>
        <v>0</v>
      </c>
    </row>
    <row r="184" spans="1:6" hidden="1" x14ac:dyDescent="0.25">
      <c r="A184" s="47" t="s">
        <v>343</v>
      </c>
      <c r="B184" s="49" t="s">
        <v>344</v>
      </c>
      <c r="C184" s="56">
        <v>0.49</v>
      </c>
      <c r="D184" s="54" t="b">
        <f t="shared" si="6"/>
        <v>0</v>
      </c>
      <c r="E184" s="54" t="b">
        <f t="shared" si="7"/>
        <v>1</v>
      </c>
      <c r="F184" s="54" t="b">
        <f t="shared" si="8"/>
        <v>0</v>
      </c>
    </row>
    <row r="185" spans="1:6" hidden="1" x14ac:dyDescent="0.25">
      <c r="A185" s="47" t="s">
        <v>341</v>
      </c>
      <c r="B185" s="49" t="s">
        <v>342</v>
      </c>
      <c r="C185" s="56">
        <v>0.96</v>
      </c>
      <c r="D185" s="54" t="b">
        <f t="shared" si="6"/>
        <v>0</v>
      </c>
      <c r="E185" s="54" t="b">
        <f t="shared" si="7"/>
        <v>1</v>
      </c>
      <c r="F185" s="54" t="b">
        <f t="shared" si="8"/>
        <v>0</v>
      </c>
    </row>
    <row r="186" spans="1:6" hidden="1" x14ac:dyDescent="0.25">
      <c r="A186" s="47" t="s">
        <v>599</v>
      </c>
      <c r="B186" s="49" t="s">
        <v>601</v>
      </c>
      <c r="C186" s="56">
        <v>1.1599999999999999</v>
      </c>
      <c r="D186" s="54" t="b">
        <f t="shared" si="6"/>
        <v>0</v>
      </c>
      <c r="E186" s="54" t="b">
        <f t="shared" si="7"/>
        <v>1</v>
      </c>
      <c r="F186" s="54" t="b">
        <f t="shared" si="8"/>
        <v>0</v>
      </c>
    </row>
    <row r="187" spans="1:6" hidden="1" x14ac:dyDescent="0.25">
      <c r="A187" s="47" t="s">
        <v>600</v>
      </c>
      <c r="B187" s="49" t="s">
        <v>602</v>
      </c>
      <c r="C187" s="56">
        <v>1.45</v>
      </c>
      <c r="D187" s="54" t="b">
        <f t="shared" si="6"/>
        <v>0</v>
      </c>
      <c r="E187" s="54" t="b">
        <f t="shared" si="7"/>
        <v>1</v>
      </c>
      <c r="F187" s="54" t="b">
        <f t="shared" si="8"/>
        <v>0</v>
      </c>
    </row>
    <row r="188" spans="1:6" hidden="1" x14ac:dyDescent="0.25">
      <c r="A188" s="44" t="s">
        <v>345</v>
      </c>
      <c r="B188" s="43" t="s">
        <v>346</v>
      </c>
      <c r="C188" s="56">
        <v>0.37</v>
      </c>
      <c r="D188" s="54" t="b">
        <f t="shared" si="6"/>
        <v>0</v>
      </c>
      <c r="E188" s="54" t="b">
        <f t="shared" si="7"/>
        <v>1</v>
      </c>
      <c r="F188" s="54" t="b">
        <f t="shared" si="8"/>
        <v>0</v>
      </c>
    </row>
    <row r="189" spans="1:6" hidden="1" x14ac:dyDescent="0.25">
      <c r="A189" s="44" t="s">
        <v>347</v>
      </c>
      <c r="B189" s="44" t="s">
        <v>348</v>
      </c>
      <c r="C189" s="56">
        <v>0.43</v>
      </c>
      <c r="D189" s="54" t="b">
        <f t="shared" si="6"/>
        <v>0</v>
      </c>
      <c r="E189" s="54" t="b">
        <f t="shared" si="7"/>
        <v>1</v>
      </c>
      <c r="F189" s="54" t="b">
        <f t="shared" si="8"/>
        <v>0</v>
      </c>
    </row>
    <row r="190" spans="1:6" hidden="1" x14ac:dyDescent="0.25">
      <c r="A190" s="43" t="s">
        <v>349</v>
      </c>
      <c r="B190" s="43" t="s">
        <v>350</v>
      </c>
      <c r="C190" s="56">
        <v>0.4</v>
      </c>
      <c r="D190" s="54" t="b">
        <f t="shared" si="6"/>
        <v>0</v>
      </c>
      <c r="E190" s="54" t="b">
        <f t="shared" si="7"/>
        <v>1</v>
      </c>
      <c r="F190" s="54" t="b">
        <f t="shared" si="8"/>
        <v>0</v>
      </c>
    </row>
    <row r="191" spans="1:6" hidden="1" x14ac:dyDescent="0.25">
      <c r="A191" s="47" t="s">
        <v>351</v>
      </c>
      <c r="B191" s="49" t="s">
        <v>352</v>
      </c>
      <c r="C191" s="56">
        <v>0.46</v>
      </c>
      <c r="D191" s="54" t="b">
        <f t="shared" si="6"/>
        <v>0</v>
      </c>
      <c r="E191" s="54" t="b">
        <f t="shared" si="7"/>
        <v>1</v>
      </c>
      <c r="F191" s="54" t="b">
        <f t="shared" si="8"/>
        <v>0</v>
      </c>
    </row>
    <row r="192" spans="1:6" hidden="1" x14ac:dyDescent="0.25">
      <c r="A192" s="43" t="s">
        <v>353</v>
      </c>
      <c r="B192" s="43" t="s">
        <v>354</v>
      </c>
      <c r="C192" s="56">
        <v>0.56000000000000005</v>
      </c>
      <c r="D192" s="54" t="b">
        <f t="shared" si="6"/>
        <v>0</v>
      </c>
      <c r="E192" s="54" t="b">
        <f t="shared" si="7"/>
        <v>1</v>
      </c>
      <c r="F192" s="54" t="b">
        <f t="shared" si="8"/>
        <v>0</v>
      </c>
    </row>
    <row r="193" spans="1:6" hidden="1" x14ac:dyDescent="0.25">
      <c r="A193" s="43" t="s">
        <v>355</v>
      </c>
      <c r="B193" s="43" t="s">
        <v>356</v>
      </c>
      <c r="C193" s="56">
        <v>0.47</v>
      </c>
      <c r="D193" s="54" t="b">
        <f t="shared" si="6"/>
        <v>0</v>
      </c>
      <c r="E193" s="54" t="b">
        <f t="shared" si="7"/>
        <v>1</v>
      </c>
      <c r="F193" s="54" t="b">
        <f t="shared" si="8"/>
        <v>0</v>
      </c>
    </row>
    <row r="194" spans="1:6" hidden="1" x14ac:dyDescent="0.25">
      <c r="A194" s="43" t="s">
        <v>357</v>
      </c>
      <c r="B194" s="43" t="s">
        <v>358</v>
      </c>
      <c r="C194" s="56">
        <v>0.66</v>
      </c>
      <c r="D194" s="54" t="b">
        <f t="shared" si="6"/>
        <v>0</v>
      </c>
      <c r="E194" s="54" t="b">
        <f t="shared" si="7"/>
        <v>1</v>
      </c>
      <c r="F194" s="54" t="b">
        <f t="shared" si="8"/>
        <v>0</v>
      </c>
    </row>
    <row r="195" spans="1:6" hidden="1" x14ac:dyDescent="0.25">
      <c r="A195" s="43" t="s">
        <v>359</v>
      </c>
      <c r="B195" s="43" t="s">
        <v>360</v>
      </c>
      <c r="C195" s="56">
        <v>0.6</v>
      </c>
      <c r="D195" s="54" t="b">
        <f t="shared" ref="D195:D258" si="9">NOT(ISNUMBER(SEARCH("O",B195)))</f>
        <v>0</v>
      </c>
      <c r="E195" s="54" t="b">
        <f t="shared" ref="E195:E258" si="10">NOT(ISNUMBER(SEARCH("S",B195)))</f>
        <v>1</v>
      </c>
      <c r="F195" s="54" t="b">
        <f t="shared" ref="F195:F258" si="11">AND(D195,E195)</f>
        <v>0</v>
      </c>
    </row>
    <row r="196" spans="1:6" hidden="1" x14ac:dyDescent="0.25">
      <c r="A196" s="43" t="s">
        <v>361</v>
      </c>
      <c r="B196" s="43" t="s">
        <v>362</v>
      </c>
      <c r="C196" s="56">
        <v>0.48</v>
      </c>
      <c r="D196" s="54" t="b">
        <f t="shared" si="9"/>
        <v>0</v>
      </c>
      <c r="E196" s="54" t="b">
        <f t="shared" si="10"/>
        <v>1</v>
      </c>
      <c r="F196" s="54" t="b">
        <f t="shared" si="11"/>
        <v>0</v>
      </c>
    </row>
    <row r="197" spans="1:6" hidden="1" x14ac:dyDescent="0.25">
      <c r="A197" s="44" t="s">
        <v>363</v>
      </c>
      <c r="B197" s="44" t="s">
        <v>364</v>
      </c>
      <c r="C197" s="56">
        <v>0.68</v>
      </c>
      <c r="D197" s="54" t="b">
        <f t="shared" si="9"/>
        <v>0</v>
      </c>
      <c r="E197" s="54" t="b">
        <f t="shared" si="10"/>
        <v>1</v>
      </c>
      <c r="F197" s="54" t="b">
        <f t="shared" si="11"/>
        <v>0</v>
      </c>
    </row>
    <row r="198" spans="1:6" hidden="1" x14ac:dyDescent="0.25">
      <c r="A198" s="44" t="s">
        <v>365</v>
      </c>
      <c r="B198" s="43" t="s">
        <v>366</v>
      </c>
      <c r="C198" s="56">
        <v>0.84</v>
      </c>
      <c r="D198" s="54" t="b">
        <f t="shared" si="9"/>
        <v>0</v>
      </c>
      <c r="E198" s="54" t="b">
        <f t="shared" si="10"/>
        <v>1</v>
      </c>
      <c r="F198" s="54" t="b">
        <f t="shared" si="11"/>
        <v>0</v>
      </c>
    </row>
    <row r="199" spans="1:6" hidden="1" x14ac:dyDescent="0.25">
      <c r="A199" s="44" t="s">
        <v>367</v>
      </c>
      <c r="B199" s="44" t="s">
        <v>368</v>
      </c>
      <c r="C199" s="56">
        <v>0.81</v>
      </c>
      <c r="D199" s="54" t="b">
        <f t="shared" si="9"/>
        <v>0</v>
      </c>
      <c r="E199" s="54" t="b">
        <f t="shared" si="10"/>
        <v>1</v>
      </c>
      <c r="F199" s="54" t="b">
        <f t="shared" si="11"/>
        <v>0</v>
      </c>
    </row>
    <row r="200" spans="1:6" hidden="1" x14ac:dyDescent="0.25">
      <c r="A200" s="43" t="s">
        <v>369</v>
      </c>
      <c r="B200" s="43" t="s">
        <v>370</v>
      </c>
      <c r="C200" s="56">
        <v>1.1000000000000001</v>
      </c>
      <c r="D200" s="54" t="b">
        <f t="shared" si="9"/>
        <v>0</v>
      </c>
      <c r="E200" s="54" t="b">
        <f t="shared" si="10"/>
        <v>1</v>
      </c>
      <c r="F200" s="54" t="b">
        <f t="shared" si="11"/>
        <v>0</v>
      </c>
    </row>
    <row r="201" spans="1:6" hidden="1" x14ac:dyDescent="0.25">
      <c r="A201" s="43" t="s">
        <v>371</v>
      </c>
      <c r="B201" s="43" t="s">
        <v>372</v>
      </c>
      <c r="C201" s="56">
        <v>1.6</v>
      </c>
      <c r="D201" s="54" t="b">
        <f t="shared" si="9"/>
        <v>0</v>
      </c>
      <c r="E201" s="54" t="b">
        <f t="shared" si="10"/>
        <v>1</v>
      </c>
      <c r="F201" s="54" t="b">
        <f t="shared" si="11"/>
        <v>0</v>
      </c>
    </row>
    <row r="202" spans="1:6" hidden="1" x14ac:dyDescent="0.25">
      <c r="A202" s="44" t="s">
        <v>373</v>
      </c>
      <c r="B202" s="44" t="s">
        <v>374</v>
      </c>
      <c r="C202" s="56">
        <v>1.1000000000000001</v>
      </c>
      <c r="D202" s="54" t="b">
        <f t="shared" si="9"/>
        <v>0</v>
      </c>
      <c r="E202" s="54" t="b">
        <f t="shared" si="10"/>
        <v>1</v>
      </c>
      <c r="F202" s="54" t="b">
        <f t="shared" si="11"/>
        <v>0</v>
      </c>
    </row>
    <row r="203" spans="1:6" hidden="1" x14ac:dyDescent="0.25">
      <c r="A203" s="43" t="s">
        <v>375</v>
      </c>
      <c r="B203" s="43" t="s">
        <v>376</v>
      </c>
      <c r="C203" s="56">
        <v>0.45</v>
      </c>
      <c r="D203" s="54" t="b">
        <f t="shared" si="9"/>
        <v>0</v>
      </c>
      <c r="E203" s="54" t="b">
        <f t="shared" si="10"/>
        <v>1</v>
      </c>
      <c r="F203" s="54" t="b">
        <f t="shared" si="11"/>
        <v>0</v>
      </c>
    </row>
    <row r="204" spans="1:6" hidden="1" x14ac:dyDescent="0.25">
      <c r="A204" s="43" t="s">
        <v>377</v>
      </c>
      <c r="B204" s="43" t="s">
        <v>378</v>
      </c>
      <c r="C204" s="56">
        <v>0.44</v>
      </c>
      <c r="D204" s="54" t="b">
        <f t="shared" si="9"/>
        <v>0</v>
      </c>
      <c r="E204" s="54" t="b">
        <f t="shared" si="10"/>
        <v>1</v>
      </c>
      <c r="F204" s="54" t="b">
        <f t="shared" si="11"/>
        <v>0</v>
      </c>
    </row>
    <row r="205" spans="1:6" hidden="1" x14ac:dyDescent="0.25">
      <c r="A205" s="43" t="s">
        <v>379</v>
      </c>
      <c r="B205" s="43" t="s">
        <v>380</v>
      </c>
      <c r="C205" s="56">
        <v>0.55000000000000004</v>
      </c>
      <c r="D205" s="54" t="b">
        <f t="shared" si="9"/>
        <v>0</v>
      </c>
      <c r="E205" s="54" t="b">
        <f t="shared" si="10"/>
        <v>1</v>
      </c>
      <c r="F205" s="54" t="b">
        <f t="shared" si="11"/>
        <v>0</v>
      </c>
    </row>
    <row r="206" spans="1:6" hidden="1" x14ac:dyDescent="0.25">
      <c r="A206" s="47" t="s">
        <v>381</v>
      </c>
      <c r="B206" s="49" t="s">
        <v>382</v>
      </c>
      <c r="C206" s="56">
        <v>0.48</v>
      </c>
      <c r="D206" s="54" t="b">
        <f t="shared" si="9"/>
        <v>0</v>
      </c>
      <c r="E206" s="54" t="b">
        <f t="shared" si="10"/>
        <v>1</v>
      </c>
      <c r="F206" s="54" t="b">
        <f t="shared" si="11"/>
        <v>0</v>
      </c>
    </row>
    <row r="207" spans="1:6" hidden="1" x14ac:dyDescent="0.25">
      <c r="A207" s="44" t="s">
        <v>383</v>
      </c>
      <c r="B207" s="43" t="s">
        <v>384</v>
      </c>
      <c r="C207" s="56">
        <v>0.5</v>
      </c>
      <c r="D207" s="54" t="b">
        <f t="shared" si="9"/>
        <v>0</v>
      </c>
      <c r="E207" s="54" t="b">
        <f t="shared" si="10"/>
        <v>1</v>
      </c>
      <c r="F207" s="54" t="b">
        <f t="shared" si="11"/>
        <v>0</v>
      </c>
    </row>
    <row r="208" spans="1:6" hidden="1" x14ac:dyDescent="0.25">
      <c r="A208" s="47" t="s">
        <v>385</v>
      </c>
      <c r="B208" s="51" t="s">
        <v>386</v>
      </c>
      <c r="C208" s="56">
        <v>2.2000000000000002</v>
      </c>
      <c r="D208" s="54" t="b">
        <f t="shared" si="9"/>
        <v>0</v>
      </c>
      <c r="E208" s="54" t="b">
        <f t="shared" si="10"/>
        <v>1</v>
      </c>
      <c r="F208" s="54" t="b">
        <f t="shared" si="11"/>
        <v>0</v>
      </c>
    </row>
    <row r="209" spans="1:6" hidden="1" x14ac:dyDescent="0.25">
      <c r="A209" s="43" t="s">
        <v>387</v>
      </c>
      <c r="B209" s="43" t="s">
        <v>388</v>
      </c>
      <c r="C209" s="56">
        <v>0.64</v>
      </c>
      <c r="D209" s="54" t="b">
        <f t="shared" si="9"/>
        <v>0</v>
      </c>
      <c r="E209" s="54" t="b">
        <f t="shared" si="10"/>
        <v>1</v>
      </c>
      <c r="F209" s="54" t="b">
        <f t="shared" si="11"/>
        <v>0</v>
      </c>
    </row>
    <row r="210" spans="1:6" hidden="1" x14ac:dyDescent="0.25">
      <c r="A210" s="43" t="s">
        <v>389</v>
      </c>
      <c r="B210" s="43" t="s">
        <v>390</v>
      </c>
      <c r="C210" s="56">
        <v>0.63</v>
      </c>
      <c r="D210" s="54" t="b">
        <f t="shared" si="9"/>
        <v>0</v>
      </c>
      <c r="E210" s="54" t="b">
        <f t="shared" si="10"/>
        <v>1</v>
      </c>
      <c r="F210" s="54" t="b">
        <f t="shared" si="11"/>
        <v>0</v>
      </c>
    </row>
    <row r="211" spans="1:6" hidden="1" x14ac:dyDescent="0.25">
      <c r="A211" s="43" t="s">
        <v>391</v>
      </c>
      <c r="B211" s="43" t="s">
        <v>392</v>
      </c>
      <c r="C211" s="56">
        <v>0.56000000000000005</v>
      </c>
      <c r="D211" s="54" t="b">
        <f t="shared" si="9"/>
        <v>0</v>
      </c>
      <c r="E211" s="54" t="b">
        <f t="shared" si="10"/>
        <v>1</v>
      </c>
      <c r="F211" s="54" t="b">
        <f t="shared" si="11"/>
        <v>0</v>
      </c>
    </row>
    <row r="212" spans="1:6" hidden="1" x14ac:dyDescent="0.25">
      <c r="A212" s="47" t="s">
        <v>393</v>
      </c>
      <c r="B212" s="49" t="s">
        <v>394</v>
      </c>
      <c r="C212" s="56">
        <v>0.48</v>
      </c>
      <c r="D212" s="54" t="b">
        <f t="shared" si="9"/>
        <v>0</v>
      </c>
      <c r="E212" s="54" t="b">
        <f t="shared" si="10"/>
        <v>1</v>
      </c>
      <c r="F212" s="54" t="b">
        <f t="shared" si="11"/>
        <v>0</v>
      </c>
    </row>
    <row r="213" spans="1:6" hidden="1" x14ac:dyDescent="0.25">
      <c r="A213" s="50" t="s">
        <v>395</v>
      </c>
      <c r="B213" s="50" t="s">
        <v>396</v>
      </c>
      <c r="C213" s="56">
        <v>0.62</v>
      </c>
      <c r="D213" s="54" t="b">
        <f t="shared" si="9"/>
        <v>0</v>
      </c>
      <c r="E213" s="54" t="b">
        <f t="shared" si="10"/>
        <v>1</v>
      </c>
      <c r="F213" s="54" t="b">
        <f t="shared" si="11"/>
        <v>0</v>
      </c>
    </row>
    <row r="214" spans="1:6" hidden="1" x14ac:dyDescent="0.25">
      <c r="A214" s="43" t="s">
        <v>397</v>
      </c>
      <c r="B214" s="43" t="s">
        <v>398</v>
      </c>
      <c r="C214" s="56">
        <v>0.78</v>
      </c>
      <c r="D214" s="54" t="b">
        <f t="shared" si="9"/>
        <v>0</v>
      </c>
      <c r="E214" s="54" t="b">
        <f t="shared" si="10"/>
        <v>1</v>
      </c>
      <c r="F214" s="54" t="b">
        <f t="shared" si="11"/>
        <v>0</v>
      </c>
    </row>
    <row r="215" spans="1:6" hidden="1" x14ac:dyDescent="0.25">
      <c r="A215" s="43" t="s">
        <v>399</v>
      </c>
      <c r="B215" s="43" t="s">
        <v>400</v>
      </c>
      <c r="C215" s="56">
        <v>0.81</v>
      </c>
      <c r="D215" s="54" t="b">
        <f t="shared" si="9"/>
        <v>0</v>
      </c>
      <c r="E215" s="54" t="b">
        <f t="shared" si="10"/>
        <v>1</v>
      </c>
      <c r="F215" s="54" t="b">
        <f t="shared" si="11"/>
        <v>0</v>
      </c>
    </row>
    <row r="216" spans="1:6" hidden="1" x14ac:dyDescent="0.25">
      <c r="A216" s="47" t="s">
        <v>401</v>
      </c>
      <c r="B216" s="43" t="s">
        <v>402</v>
      </c>
      <c r="C216" s="56">
        <v>0.83</v>
      </c>
      <c r="D216" s="54" t="b">
        <f t="shared" si="9"/>
        <v>0</v>
      </c>
      <c r="E216" s="54" t="b">
        <f t="shared" si="10"/>
        <v>1</v>
      </c>
      <c r="F216" s="54" t="b">
        <f t="shared" si="11"/>
        <v>0</v>
      </c>
    </row>
    <row r="217" spans="1:6" hidden="1" x14ac:dyDescent="0.25">
      <c r="A217" s="48" t="s">
        <v>403</v>
      </c>
      <c r="B217" s="49" t="s">
        <v>404</v>
      </c>
      <c r="C217" s="56">
        <v>0.77</v>
      </c>
      <c r="D217" s="54" t="b">
        <f t="shared" si="9"/>
        <v>0</v>
      </c>
      <c r="E217" s="54" t="b">
        <f t="shared" si="10"/>
        <v>1</v>
      </c>
      <c r="F217" s="54" t="b">
        <f t="shared" si="11"/>
        <v>0</v>
      </c>
    </row>
    <row r="218" spans="1:6" hidden="1" x14ac:dyDescent="0.25">
      <c r="A218" s="47" t="s">
        <v>405</v>
      </c>
      <c r="B218" s="49" t="s">
        <v>406</v>
      </c>
      <c r="C218" s="56">
        <v>0.53</v>
      </c>
      <c r="D218" s="54" t="b">
        <f t="shared" si="9"/>
        <v>0</v>
      </c>
      <c r="E218" s="54" t="b">
        <f t="shared" si="10"/>
        <v>1</v>
      </c>
      <c r="F218" s="54" t="b">
        <f t="shared" si="11"/>
        <v>0</v>
      </c>
    </row>
    <row r="219" spans="1:6" hidden="1" x14ac:dyDescent="0.25">
      <c r="A219" s="43" t="s">
        <v>407</v>
      </c>
      <c r="B219" s="43" t="s">
        <v>408</v>
      </c>
      <c r="C219" s="56">
        <v>0.92</v>
      </c>
      <c r="D219" s="54" t="b">
        <f t="shared" si="9"/>
        <v>0</v>
      </c>
      <c r="E219" s="54" t="b">
        <f t="shared" si="10"/>
        <v>1</v>
      </c>
      <c r="F219" s="54" t="b">
        <f t="shared" si="11"/>
        <v>0</v>
      </c>
    </row>
    <row r="220" spans="1:6" hidden="1" x14ac:dyDescent="0.25">
      <c r="A220" s="47" t="s">
        <v>409</v>
      </c>
      <c r="B220" s="49" t="s">
        <v>410</v>
      </c>
      <c r="C220" s="56">
        <v>0.97</v>
      </c>
      <c r="D220" s="54" t="b">
        <f t="shared" si="9"/>
        <v>0</v>
      </c>
      <c r="E220" s="54" t="b">
        <f t="shared" si="10"/>
        <v>1</v>
      </c>
      <c r="F220" s="54" t="b">
        <f t="shared" si="11"/>
        <v>0</v>
      </c>
    </row>
    <row r="221" spans="1:6" hidden="1" x14ac:dyDescent="0.25">
      <c r="A221" s="50" t="s">
        <v>411</v>
      </c>
      <c r="B221" s="50" t="s">
        <v>412</v>
      </c>
      <c r="C221" s="56">
        <v>1</v>
      </c>
      <c r="D221" s="54" t="b">
        <f t="shared" si="9"/>
        <v>0</v>
      </c>
      <c r="E221" s="54" t="b">
        <f t="shared" si="10"/>
        <v>1</v>
      </c>
      <c r="F221" s="54" t="b">
        <f t="shared" si="11"/>
        <v>0</v>
      </c>
    </row>
    <row r="222" spans="1:6" hidden="1" x14ac:dyDescent="0.25">
      <c r="A222" s="47" t="s">
        <v>413</v>
      </c>
      <c r="B222" s="49" t="s">
        <v>414</v>
      </c>
      <c r="C222" s="56">
        <v>1.1399999999999999</v>
      </c>
      <c r="D222" s="54" t="b">
        <f t="shared" si="9"/>
        <v>0</v>
      </c>
      <c r="E222" s="54" t="b">
        <f t="shared" si="10"/>
        <v>1</v>
      </c>
      <c r="F222" s="54" t="b">
        <f t="shared" si="11"/>
        <v>0</v>
      </c>
    </row>
    <row r="223" spans="1:6" hidden="1" x14ac:dyDescent="0.25">
      <c r="A223" s="47" t="s">
        <v>415</v>
      </c>
      <c r="B223" s="49" t="s">
        <v>416</v>
      </c>
      <c r="C223" s="56">
        <v>1.3</v>
      </c>
      <c r="D223" s="54" t="b">
        <f t="shared" si="9"/>
        <v>0</v>
      </c>
      <c r="E223" s="54" t="b">
        <f t="shared" si="10"/>
        <v>1</v>
      </c>
      <c r="F223" s="54" t="b">
        <f t="shared" si="11"/>
        <v>0</v>
      </c>
    </row>
    <row r="224" spans="1:6" hidden="1" x14ac:dyDescent="0.25">
      <c r="A224" s="47" t="s">
        <v>417</v>
      </c>
      <c r="B224" s="49" t="s">
        <v>418</v>
      </c>
      <c r="C224" s="56">
        <v>1.2</v>
      </c>
      <c r="D224" s="54" t="b">
        <f t="shared" si="9"/>
        <v>0</v>
      </c>
      <c r="E224" s="54" t="b">
        <f t="shared" si="10"/>
        <v>1</v>
      </c>
      <c r="F224" s="54" t="b">
        <f t="shared" si="11"/>
        <v>0</v>
      </c>
    </row>
    <row r="225" spans="1:6" hidden="1" x14ac:dyDescent="0.25">
      <c r="A225" s="47" t="s">
        <v>419</v>
      </c>
      <c r="B225" s="49" t="s">
        <v>420</v>
      </c>
      <c r="C225" s="56">
        <v>1.4</v>
      </c>
      <c r="D225" s="54" t="b">
        <f t="shared" si="9"/>
        <v>0</v>
      </c>
      <c r="E225" s="54" t="b">
        <f t="shared" si="10"/>
        <v>1</v>
      </c>
      <c r="F225" s="54" t="b">
        <f t="shared" si="11"/>
        <v>0</v>
      </c>
    </row>
    <row r="226" spans="1:6" hidden="1" x14ac:dyDescent="0.25">
      <c r="A226" s="50" t="s">
        <v>421</v>
      </c>
      <c r="B226" s="50" t="s">
        <v>422</v>
      </c>
      <c r="C226" s="56">
        <v>1.5</v>
      </c>
      <c r="D226" s="54" t="b">
        <f t="shared" si="9"/>
        <v>0</v>
      </c>
      <c r="E226" s="54" t="b">
        <f t="shared" si="10"/>
        <v>1</v>
      </c>
      <c r="F226" s="54" t="b">
        <f t="shared" si="11"/>
        <v>0</v>
      </c>
    </row>
    <row r="227" spans="1:6" hidden="1" x14ac:dyDescent="0.25">
      <c r="A227" s="47" t="s">
        <v>423</v>
      </c>
      <c r="B227" s="49" t="s">
        <v>424</v>
      </c>
      <c r="C227" s="56">
        <v>1.9</v>
      </c>
      <c r="D227" s="54" t="b">
        <f t="shared" si="9"/>
        <v>0</v>
      </c>
      <c r="E227" s="54" t="b">
        <f t="shared" si="10"/>
        <v>1</v>
      </c>
      <c r="F227" s="54" t="b">
        <f t="shared" si="11"/>
        <v>0</v>
      </c>
    </row>
    <row r="228" spans="1:6" hidden="1" x14ac:dyDescent="0.25">
      <c r="A228" s="47" t="s">
        <v>425</v>
      </c>
      <c r="B228" s="49" t="s">
        <v>426</v>
      </c>
      <c r="C228" s="56">
        <v>2.9</v>
      </c>
      <c r="D228" s="54" t="b">
        <f t="shared" si="9"/>
        <v>0</v>
      </c>
      <c r="E228" s="54" t="b">
        <f t="shared" si="10"/>
        <v>1</v>
      </c>
      <c r="F228" s="54" t="b">
        <f t="shared" si="11"/>
        <v>0</v>
      </c>
    </row>
    <row r="229" spans="1:6" hidden="1" x14ac:dyDescent="0.25">
      <c r="A229" s="47" t="s">
        <v>427</v>
      </c>
      <c r="B229" s="49" t="s">
        <v>428</v>
      </c>
      <c r="C229" s="56">
        <v>4.2</v>
      </c>
      <c r="D229" s="54" t="b">
        <f t="shared" si="9"/>
        <v>0</v>
      </c>
      <c r="E229" s="54" t="b">
        <f t="shared" si="10"/>
        <v>1</v>
      </c>
      <c r="F229" s="54" t="b">
        <f t="shared" si="11"/>
        <v>0</v>
      </c>
    </row>
    <row r="230" spans="1:6" hidden="1" x14ac:dyDescent="0.25">
      <c r="A230" s="48" t="s">
        <v>511</v>
      </c>
      <c r="B230" s="47" t="s">
        <v>512</v>
      </c>
      <c r="C230" s="56">
        <v>3.1</v>
      </c>
      <c r="D230" s="54" t="b">
        <f t="shared" si="9"/>
        <v>0</v>
      </c>
      <c r="E230" s="54" t="b">
        <f t="shared" si="10"/>
        <v>1</v>
      </c>
      <c r="F230" s="54" t="b">
        <f t="shared" si="11"/>
        <v>0</v>
      </c>
    </row>
    <row r="231" spans="1:6" hidden="1" x14ac:dyDescent="0.25">
      <c r="A231" s="48" t="s">
        <v>513</v>
      </c>
      <c r="B231" s="47" t="s">
        <v>514</v>
      </c>
      <c r="C231" s="56">
        <v>3.6</v>
      </c>
      <c r="D231" s="54" t="b">
        <f t="shared" si="9"/>
        <v>0</v>
      </c>
      <c r="E231" s="54" t="b">
        <f t="shared" si="10"/>
        <v>1</v>
      </c>
      <c r="F231" s="54" t="b">
        <f t="shared" si="11"/>
        <v>0</v>
      </c>
    </row>
    <row r="232" spans="1:6" hidden="1" x14ac:dyDescent="0.25">
      <c r="A232" s="50" t="s">
        <v>429</v>
      </c>
      <c r="B232" s="50" t="s">
        <v>430</v>
      </c>
      <c r="C232" s="56">
        <v>4.4000000000000004</v>
      </c>
      <c r="D232" s="54" t="b">
        <f t="shared" si="9"/>
        <v>0</v>
      </c>
      <c r="E232" s="54" t="b">
        <f t="shared" si="10"/>
        <v>1</v>
      </c>
      <c r="F232" s="54" t="b">
        <f t="shared" si="11"/>
        <v>0</v>
      </c>
    </row>
    <row r="233" spans="1:6" hidden="1" x14ac:dyDescent="0.25">
      <c r="A233" s="48" t="s">
        <v>515</v>
      </c>
      <c r="B233" s="47" t="s">
        <v>516</v>
      </c>
      <c r="C233" s="56">
        <v>3.7</v>
      </c>
      <c r="D233" s="54" t="b">
        <f t="shared" si="9"/>
        <v>0</v>
      </c>
      <c r="E233" s="54" t="b">
        <f t="shared" si="10"/>
        <v>1</v>
      </c>
      <c r="F233" s="54" t="b">
        <f t="shared" si="11"/>
        <v>0</v>
      </c>
    </row>
    <row r="234" spans="1:6" hidden="1" x14ac:dyDescent="0.25">
      <c r="A234" s="48" t="s">
        <v>517</v>
      </c>
      <c r="B234" s="47" t="s">
        <v>518</v>
      </c>
      <c r="C234" s="56">
        <v>3.7</v>
      </c>
      <c r="D234" s="54" t="b">
        <f t="shared" si="9"/>
        <v>0</v>
      </c>
      <c r="E234" s="54" t="b">
        <f t="shared" si="10"/>
        <v>1</v>
      </c>
      <c r="F234" s="54" t="b">
        <f t="shared" si="11"/>
        <v>0</v>
      </c>
    </row>
    <row r="235" spans="1:6" hidden="1" x14ac:dyDescent="0.25">
      <c r="A235" s="48" t="s">
        <v>519</v>
      </c>
      <c r="B235" s="47" t="s">
        <v>520</v>
      </c>
      <c r="C235" s="56">
        <v>3.6</v>
      </c>
      <c r="D235" s="54" t="b">
        <f t="shared" si="9"/>
        <v>0</v>
      </c>
      <c r="E235" s="54" t="b">
        <f t="shared" si="10"/>
        <v>1</v>
      </c>
      <c r="F235" s="54" t="b">
        <f t="shared" si="11"/>
        <v>0</v>
      </c>
    </row>
    <row r="236" spans="1:6" hidden="1" x14ac:dyDescent="0.25">
      <c r="A236" s="47" t="s">
        <v>431</v>
      </c>
      <c r="B236" s="49" t="s">
        <v>432</v>
      </c>
      <c r="C236" s="56">
        <v>6</v>
      </c>
      <c r="D236" s="54" t="b">
        <f t="shared" si="9"/>
        <v>0</v>
      </c>
      <c r="E236" s="54" t="b">
        <f t="shared" si="10"/>
        <v>1</v>
      </c>
      <c r="F236" s="54" t="b">
        <f t="shared" si="11"/>
        <v>0</v>
      </c>
    </row>
    <row r="237" spans="1:6" hidden="1" x14ac:dyDescent="0.25">
      <c r="A237" s="48" t="s">
        <v>558</v>
      </c>
      <c r="B237" s="49" t="s">
        <v>561</v>
      </c>
      <c r="C237" s="56">
        <v>4.3</v>
      </c>
      <c r="D237" s="54" t="b">
        <f t="shared" si="9"/>
        <v>0</v>
      </c>
      <c r="E237" s="54" t="b">
        <f t="shared" si="10"/>
        <v>1</v>
      </c>
      <c r="F237" s="54" t="b">
        <f t="shared" si="11"/>
        <v>0</v>
      </c>
    </row>
    <row r="238" spans="1:6" hidden="1" x14ac:dyDescent="0.25">
      <c r="A238" s="48" t="s">
        <v>521</v>
      </c>
      <c r="B238" s="47" t="s">
        <v>522</v>
      </c>
      <c r="C238" s="56">
        <v>4.9000000000000004</v>
      </c>
      <c r="D238" s="54" t="b">
        <f t="shared" si="9"/>
        <v>0</v>
      </c>
      <c r="E238" s="54" t="b">
        <f t="shared" si="10"/>
        <v>1</v>
      </c>
      <c r="F238" s="54" t="b">
        <f t="shared" si="11"/>
        <v>0</v>
      </c>
    </row>
    <row r="239" spans="1:6" hidden="1" x14ac:dyDescent="0.25">
      <c r="A239" s="48" t="s">
        <v>523</v>
      </c>
      <c r="B239" s="47" t="s">
        <v>524</v>
      </c>
      <c r="C239" s="56">
        <v>5</v>
      </c>
      <c r="D239" s="54" t="b">
        <f t="shared" si="9"/>
        <v>0</v>
      </c>
      <c r="E239" s="54" t="b">
        <f t="shared" si="10"/>
        <v>1</v>
      </c>
      <c r="F239" s="54" t="b">
        <f t="shared" si="11"/>
        <v>0</v>
      </c>
    </row>
    <row r="240" spans="1:6" hidden="1" x14ac:dyDescent="0.25">
      <c r="A240" s="48" t="s">
        <v>525</v>
      </c>
      <c r="B240" s="47" t="s">
        <v>526</v>
      </c>
      <c r="C240" s="56">
        <v>5.4</v>
      </c>
      <c r="D240" s="54" t="b">
        <f t="shared" si="9"/>
        <v>0</v>
      </c>
      <c r="E240" s="54" t="b">
        <f t="shared" si="10"/>
        <v>1</v>
      </c>
      <c r="F240" s="54" t="b">
        <f t="shared" si="11"/>
        <v>0</v>
      </c>
    </row>
    <row r="241" spans="1:6" hidden="1" x14ac:dyDescent="0.25">
      <c r="A241" s="47" t="s">
        <v>433</v>
      </c>
      <c r="B241" s="49" t="s">
        <v>434</v>
      </c>
      <c r="C241" s="56">
        <v>6</v>
      </c>
      <c r="D241" s="54" t="b">
        <f t="shared" si="9"/>
        <v>0</v>
      </c>
      <c r="E241" s="54" t="b">
        <f t="shared" si="10"/>
        <v>1</v>
      </c>
      <c r="F241" s="54" t="b">
        <f t="shared" si="11"/>
        <v>0</v>
      </c>
    </row>
    <row r="242" spans="1:6" hidden="1" x14ac:dyDescent="0.25">
      <c r="A242" s="48" t="s">
        <v>527</v>
      </c>
      <c r="B242" s="47" t="s">
        <v>528</v>
      </c>
      <c r="C242" s="56">
        <v>5.8</v>
      </c>
      <c r="D242" s="54" t="b">
        <f t="shared" si="9"/>
        <v>0</v>
      </c>
      <c r="E242" s="54" t="b">
        <f t="shared" si="10"/>
        <v>1</v>
      </c>
      <c r="F242" s="54" t="b">
        <f t="shared" si="11"/>
        <v>0</v>
      </c>
    </row>
    <row r="243" spans="1:6" hidden="1" x14ac:dyDescent="0.25">
      <c r="A243" s="48" t="s">
        <v>529</v>
      </c>
      <c r="B243" s="47" t="s">
        <v>530</v>
      </c>
      <c r="C243" s="56">
        <v>5.9</v>
      </c>
      <c r="D243" s="54" t="b">
        <f t="shared" si="9"/>
        <v>0</v>
      </c>
      <c r="E243" s="54" t="b">
        <f t="shared" si="10"/>
        <v>1</v>
      </c>
      <c r="F243" s="54" t="b">
        <f t="shared" si="11"/>
        <v>0</v>
      </c>
    </row>
    <row r="244" spans="1:6" hidden="1" x14ac:dyDescent="0.25">
      <c r="A244" s="48" t="s">
        <v>531</v>
      </c>
      <c r="B244" s="47" t="s">
        <v>532</v>
      </c>
      <c r="C244" s="56">
        <v>6.6</v>
      </c>
      <c r="D244" s="54" t="b">
        <f t="shared" si="9"/>
        <v>0</v>
      </c>
      <c r="E244" s="54" t="b">
        <f t="shared" si="10"/>
        <v>1</v>
      </c>
      <c r="F244" s="54" t="b">
        <f t="shared" si="11"/>
        <v>0</v>
      </c>
    </row>
    <row r="245" spans="1:6" hidden="1" x14ac:dyDescent="0.25">
      <c r="A245" s="48" t="s">
        <v>559</v>
      </c>
      <c r="B245" s="47" t="s">
        <v>560</v>
      </c>
      <c r="C245" s="56">
        <v>7.8</v>
      </c>
      <c r="D245" s="54" t="b">
        <f t="shared" si="9"/>
        <v>0</v>
      </c>
      <c r="E245" s="54" t="b">
        <f t="shared" si="10"/>
        <v>1</v>
      </c>
      <c r="F245" s="54" t="b">
        <f t="shared" si="11"/>
        <v>0</v>
      </c>
    </row>
    <row r="246" spans="1:6" hidden="1" x14ac:dyDescent="0.25">
      <c r="A246" s="48" t="s">
        <v>533</v>
      </c>
      <c r="B246" s="47" t="s">
        <v>534</v>
      </c>
      <c r="C246" s="56">
        <v>9.6999999999999993</v>
      </c>
      <c r="D246" s="54" t="b">
        <f t="shared" si="9"/>
        <v>0</v>
      </c>
      <c r="E246" s="54" t="b">
        <f t="shared" si="10"/>
        <v>1</v>
      </c>
      <c r="F246" s="54" t="b">
        <f t="shared" si="11"/>
        <v>0</v>
      </c>
    </row>
    <row r="247" spans="1:6" hidden="1" x14ac:dyDescent="0.25">
      <c r="A247" s="47" t="s">
        <v>435</v>
      </c>
      <c r="B247" s="49" t="s">
        <v>436</v>
      </c>
      <c r="C247" s="56">
        <v>1.6</v>
      </c>
      <c r="D247" s="54" t="b">
        <f t="shared" si="9"/>
        <v>0</v>
      </c>
      <c r="E247" s="54" t="b">
        <f t="shared" si="10"/>
        <v>1</v>
      </c>
      <c r="F247" s="54" t="b">
        <f t="shared" si="11"/>
        <v>0</v>
      </c>
    </row>
    <row r="248" spans="1:6" hidden="1" x14ac:dyDescent="0.25">
      <c r="A248" s="47" t="s">
        <v>437</v>
      </c>
      <c r="B248" s="49" t="s">
        <v>438</v>
      </c>
      <c r="C248" s="56">
        <v>1.5</v>
      </c>
      <c r="D248" s="54" t="b">
        <f t="shared" si="9"/>
        <v>0</v>
      </c>
      <c r="E248" s="54" t="b">
        <f t="shared" si="10"/>
        <v>1</v>
      </c>
      <c r="F248" s="54" t="b">
        <f t="shared" si="11"/>
        <v>0</v>
      </c>
    </row>
    <row r="249" spans="1:6" hidden="1" x14ac:dyDescent="0.25">
      <c r="A249" s="47" t="s">
        <v>439</v>
      </c>
      <c r="B249" s="49" t="s">
        <v>440</v>
      </c>
      <c r="C249" s="56">
        <v>3.4</v>
      </c>
      <c r="D249" s="54" t="b">
        <f t="shared" si="9"/>
        <v>0</v>
      </c>
      <c r="E249" s="54" t="b">
        <f t="shared" si="10"/>
        <v>1</v>
      </c>
      <c r="F249" s="54" t="b">
        <f t="shared" si="11"/>
        <v>0</v>
      </c>
    </row>
    <row r="250" spans="1:6" hidden="1" x14ac:dyDescent="0.25">
      <c r="A250" s="47" t="s">
        <v>441</v>
      </c>
      <c r="B250" s="49" t="s">
        <v>442</v>
      </c>
      <c r="C250" s="56">
        <v>2.9</v>
      </c>
      <c r="D250" s="54" t="b">
        <f t="shared" si="9"/>
        <v>0</v>
      </c>
      <c r="E250" s="54" t="b">
        <f t="shared" si="10"/>
        <v>1</v>
      </c>
      <c r="F250" s="54" t="b">
        <f t="shared" si="11"/>
        <v>0</v>
      </c>
    </row>
    <row r="251" spans="1:6" hidden="1" x14ac:dyDescent="0.25">
      <c r="A251" s="47" t="s">
        <v>443</v>
      </c>
      <c r="B251" s="49" t="s">
        <v>444</v>
      </c>
      <c r="C251" s="56">
        <v>4.5999999999999996</v>
      </c>
      <c r="D251" s="54" t="b">
        <f t="shared" si="9"/>
        <v>0</v>
      </c>
      <c r="E251" s="54" t="b">
        <f t="shared" si="10"/>
        <v>1</v>
      </c>
      <c r="F251" s="54" t="b">
        <f t="shared" si="11"/>
        <v>0</v>
      </c>
    </row>
    <row r="252" spans="1:6" hidden="1" x14ac:dyDescent="0.25">
      <c r="A252" s="48" t="s">
        <v>535</v>
      </c>
      <c r="B252" s="44" t="s">
        <v>536</v>
      </c>
      <c r="C252" s="56">
        <v>4.5</v>
      </c>
      <c r="D252" s="54" t="b">
        <f t="shared" si="9"/>
        <v>0</v>
      </c>
      <c r="E252" s="54" t="b">
        <f t="shared" si="10"/>
        <v>1</v>
      </c>
      <c r="F252" s="54" t="b">
        <f t="shared" si="11"/>
        <v>0</v>
      </c>
    </row>
    <row r="253" spans="1:6" hidden="1" x14ac:dyDescent="0.25">
      <c r="A253" s="48" t="s">
        <v>537</v>
      </c>
      <c r="B253" s="44" t="s">
        <v>538</v>
      </c>
      <c r="C253" s="56">
        <v>5.0999999999999996</v>
      </c>
      <c r="D253" s="54" t="b">
        <f t="shared" si="9"/>
        <v>0</v>
      </c>
      <c r="E253" s="54" t="b">
        <f t="shared" si="10"/>
        <v>1</v>
      </c>
      <c r="F253" s="54" t="b">
        <f t="shared" si="11"/>
        <v>0</v>
      </c>
    </row>
    <row r="254" spans="1:6" hidden="1" x14ac:dyDescent="0.25">
      <c r="A254" s="48" t="s">
        <v>578</v>
      </c>
      <c r="B254" s="44" t="s">
        <v>580</v>
      </c>
      <c r="C254" s="56">
        <v>7</v>
      </c>
      <c r="D254" s="54" t="b">
        <f t="shared" si="9"/>
        <v>0</v>
      </c>
      <c r="E254" s="54" t="b">
        <f t="shared" si="10"/>
        <v>1</v>
      </c>
      <c r="F254" s="54" t="b">
        <f t="shared" si="11"/>
        <v>0</v>
      </c>
    </row>
    <row r="255" spans="1:6" hidden="1" x14ac:dyDescent="0.25">
      <c r="A255" s="47" t="s">
        <v>445</v>
      </c>
      <c r="B255" s="48" t="s">
        <v>446</v>
      </c>
      <c r="C255" s="56">
        <v>7.9</v>
      </c>
      <c r="D255" s="54" t="b">
        <f t="shared" si="9"/>
        <v>0</v>
      </c>
      <c r="E255" s="54" t="b">
        <f t="shared" si="10"/>
        <v>1</v>
      </c>
      <c r="F255" s="54" t="b">
        <f t="shared" si="11"/>
        <v>0</v>
      </c>
    </row>
    <row r="256" spans="1:6" hidden="1" x14ac:dyDescent="0.25">
      <c r="A256" s="48" t="s">
        <v>579</v>
      </c>
      <c r="B256" s="47" t="s">
        <v>581</v>
      </c>
      <c r="C256" s="56">
        <v>9.8000000000000007</v>
      </c>
      <c r="D256" s="54" t="b">
        <f t="shared" si="9"/>
        <v>0</v>
      </c>
      <c r="E256" s="54" t="b">
        <f t="shared" si="10"/>
        <v>1</v>
      </c>
      <c r="F256" s="54" t="b">
        <f t="shared" si="11"/>
        <v>0</v>
      </c>
    </row>
    <row r="257" spans="1:6" hidden="1" x14ac:dyDescent="0.25">
      <c r="A257" s="48" t="s">
        <v>539</v>
      </c>
      <c r="B257" s="47" t="s">
        <v>540</v>
      </c>
      <c r="C257" s="56">
        <v>11.8</v>
      </c>
      <c r="D257" s="54" t="b">
        <f t="shared" si="9"/>
        <v>0</v>
      </c>
      <c r="E257" s="54" t="b">
        <f t="shared" si="10"/>
        <v>1</v>
      </c>
      <c r="F257" s="54" t="b">
        <f t="shared" si="11"/>
        <v>0</v>
      </c>
    </row>
    <row r="258" spans="1:6" hidden="1" x14ac:dyDescent="0.25">
      <c r="A258" s="48" t="s">
        <v>541</v>
      </c>
      <c r="B258" s="47" t="s">
        <v>542</v>
      </c>
      <c r="C258" s="56">
        <v>12.8</v>
      </c>
      <c r="D258" s="54" t="b">
        <f t="shared" si="9"/>
        <v>0</v>
      </c>
      <c r="E258" s="54" t="b">
        <f t="shared" si="10"/>
        <v>1</v>
      </c>
      <c r="F258" s="54" t="b">
        <f t="shared" si="11"/>
        <v>0</v>
      </c>
    </row>
    <row r="259" spans="1:6" hidden="1" x14ac:dyDescent="0.25">
      <c r="A259" s="48" t="s">
        <v>543</v>
      </c>
      <c r="B259" s="47" t="s">
        <v>544</v>
      </c>
      <c r="C259" s="56">
        <v>11.4</v>
      </c>
      <c r="D259" s="54" t="b">
        <f t="shared" ref="D259:D301" si="12">NOT(ISNUMBER(SEARCH("O",B259)))</f>
        <v>0</v>
      </c>
      <c r="E259" s="54" t="b">
        <f t="shared" ref="E259:E301" si="13">NOT(ISNUMBER(SEARCH("S",B259)))</f>
        <v>1</v>
      </c>
      <c r="F259" s="54" t="b">
        <f t="shared" ref="F259:F301" si="14">AND(D259,E259)</f>
        <v>0</v>
      </c>
    </row>
    <row r="260" spans="1:6" hidden="1" x14ac:dyDescent="0.25">
      <c r="A260" s="48" t="s">
        <v>576</v>
      </c>
      <c r="B260" s="47" t="s">
        <v>577</v>
      </c>
      <c r="C260" s="56">
        <v>19.5</v>
      </c>
      <c r="D260" s="54" t="b">
        <f t="shared" si="12"/>
        <v>0</v>
      </c>
      <c r="E260" s="54" t="b">
        <f t="shared" si="13"/>
        <v>1</v>
      </c>
      <c r="F260" s="54" t="b">
        <f t="shared" si="14"/>
        <v>0</v>
      </c>
    </row>
    <row r="261" spans="1:6" hidden="1" x14ac:dyDescent="0.25">
      <c r="A261" s="48" t="s">
        <v>508</v>
      </c>
      <c r="B261" s="48" t="s">
        <v>547</v>
      </c>
      <c r="C261" s="56">
        <v>7.8</v>
      </c>
      <c r="D261" s="54" t="b">
        <f t="shared" si="12"/>
        <v>0</v>
      </c>
      <c r="E261" s="54" t="b">
        <f t="shared" si="13"/>
        <v>1</v>
      </c>
      <c r="F261" s="54" t="b">
        <f t="shared" si="14"/>
        <v>0</v>
      </c>
    </row>
    <row r="262" spans="1:6" hidden="1" x14ac:dyDescent="0.25">
      <c r="A262" s="47" t="s">
        <v>447</v>
      </c>
      <c r="B262" s="48" t="s">
        <v>448</v>
      </c>
      <c r="C262" s="56">
        <v>8.6999999999999993</v>
      </c>
      <c r="D262" s="54" t="b">
        <f t="shared" si="12"/>
        <v>0</v>
      </c>
      <c r="E262" s="54" t="b">
        <f t="shared" si="13"/>
        <v>1</v>
      </c>
      <c r="F262" s="54" t="b">
        <f t="shared" si="14"/>
        <v>0</v>
      </c>
    </row>
    <row r="263" spans="1:6" hidden="1" x14ac:dyDescent="0.25">
      <c r="A263" s="48" t="s">
        <v>545</v>
      </c>
      <c r="B263" s="48" t="s">
        <v>546</v>
      </c>
      <c r="C263" s="56">
        <v>14</v>
      </c>
      <c r="D263" s="54" t="b">
        <f t="shared" si="12"/>
        <v>0</v>
      </c>
      <c r="E263" s="54" t="b">
        <f t="shared" si="13"/>
        <v>1</v>
      </c>
      <c r="F263" s="54" t="b">
        <f t="shared" si="14"/>
        <v>0</v>
      </c>
    </row>
    <row r="264" spans="1:6" hidden="1" x14ac:dyDescent="0.25">
      <c r="A264" s="50" t="s">
        <v>449</v>
      </c>
      <c r="B264" s="50" t="s">
        <v>450</v>
      </c>
      <c r="C264" s="56">
        <v>19.7</v>
      </c>
      <c r="D264" s="54" t="b">
        <f t="shared" si="12"/>
        <v>0</v>
      </c>
      <c r="E264" s="54" t="b">
        <f t="shared" si="13"/>
        <v>1</v>
      </c>
      <c r="F264" s="54" t="b">
        <f t="shared" si="14"/>
        <v>0</v>
      </c>
    </row>
    <row r="265" spans="1:6" hidden="1" x14ac:dyDescent="0.25">
      <c r="A265" s="48" t="s">
        <v>548</v>
      </c>
      <c r="B265" s="47" t="s">
        <v>549</v>
      </c>
      <c r="C265" s="56">
        <v>16.600000000000001</v>
      </c>
      <c r="D265" s="54" t="b">
        <f t="shared" si="12"/>
        <v>0</v>
      </c>
      <c r="E265" s="54" t="b">
        <f t="shared" si="13"/>
        <v>1</v>
      </c>
      <c r="F265" s="54" t="b">
        <f t="shared" si="14"/>
        <v>0</v>
      </c>
    </row>
    <row r="266" spans="1:6" hidden="1" x14ac:dyDescent="0.25">
      <c r="A266" s="48" t="s">
        <v>550</v>
      </c>
      <c r="B266" s="47" t="s">
        <v>551</v>
      </c>
      <c r="C266" s="56">
        <v>13.2</v>
      </c>
      <c r="D266" s="54" t="b">
        <f t="shared" si="12"/>
        <v>0</v>
      </c>
      <c r="E266" s="54" t="b">
        <f t="shared" si="13"/>
        <v>1</v>
      </c>
      <c r="F266" s="54" t="b">
        <f t="shared" si="14"/>
        <v>0</v>
      </c>
    </row>
    <row r="267" spans="1:6" hidden="1" x14ac:dyDescent="0.25">
      <c r="A267" s="48" t="s">
        <v>552</v>
      </c>
      <c r="B267" s="47" t="s">
        <v>553</v>
      </c>
      <c r="C267" s="56">
        <v>17.399999999999999</v>
      </c>
      <c r="D267" s="54" t="b">
        <f t="shared" si="12"/>
        <v>0</v>
      </c>
      <c r="E267" s="54" t="b">
        <f t="shared" si="13"/>
        <v>1</v>
      </c>
      <c r="F267" s="54" t="b">
        <f t="shared" si="14"/>
        <v>0</v>
      </c>
    </row>
    <row r="268" spans="1:6" hidden="1" x14ac:dyDescent="0.25">
      <c r="A268" s="48" t="s">
        <v>554</v>
      </c>
      <c r="B268" s="47" t="s">
        <v>555</v>
      </c>
      <c r="C268" s="56">
        <v>19.899999999999999</v>
      </c>
      <c r="D268" s="54" t="b">
        <f t="shared" si="12"/>
        <v>0</v>
      </c>
      <c r="E268" s="54" t="b">
        <f t="shared" si="13"/>
        <v>1</v>
      </c>
      <c r="F268" s="54" t="b">
        <f t="shared" si="14"/>
        <v>0</v>
      </c>
    </row>
    <row r="269" spans="1:6" hidden="1" x14ac:dyDescent="0.25">
      <c r="A269" s="57" t="s">
        <v>556</v>
      </c>
      <c r="B269" s="47" t="s">
        <v>557</v>
      </c>
      <c r="C269" s="56">
        <v>42.5</v>
      </c>
      <c r="D269" s="54" t="b">
        <f t="shared" si="12"/>
        <v>0</v>
      </c>
      <c r="E269" s="54" t="b">
        <f t="shared" si="13"/>
        <v>1</v>
      </c>
      <c r="F269" s="54" t="b">
        <f t="shared" si="14"/>
        <v>0</v>
      </c>
    </row>
    <row r="270" spans="1:6" hidden="1" x14ac:dyDescent="0.25">
      <c r="A270" s="44" t="s">
        <v>451</v>
      </c>
      <c r="B270" s="43" t="s">
        <v>452</v>
      </c>
      <c r="C270" s="56">
        <v>1.9</v>
      </c>
      <c r="D270" s="54" t="b">
        <f t="shared" si="12"/>
        <v>0</v>
      </c>
      <c r="E270" s="54" t="b">
        <f t="shared" si="13"/>
        <v>1</v>
      </c>
      <c r="F270" s="54" t="b">
        <f t="shared" si="14"/>
        <v>0</v>
      </c>
    </row>
    <row r="271" spans="1:6" hidden="1" x14ac:dyDescent="0.25">
      <c r="A271" s="47" t="s">
        <v>453</v>
      </c>
      <c r="B271" s="49" t="s">
        <v>454</v>
      </c>
      <c r="C271" s="56">
        <v>2.5</v>
      </c>
      <c r="D271" s="54" t="b">
        <f t="shared" si="12"/>
        <v>0</v>
      </c>
      <c r="E271" s="54" t="b">
        <f t="shared" si="13"/>
        <v>1</v>
      </c>
      <c r="F271" s="54" t="b">
        <f t="shared" si="14"/>
        <v>0</v>
      </c>
    </row>
    <row r="272" spans="1:6" hidden="1" x14ac:dyDescent="0.25">
      <c r="A272" s="44" t="s">
        <v>455</v>
      </c>
      <c r="B272" s="43" t="s">
        <v>456</v>
      </c>
      <c r="C272" s="56">
        <v>2</v>
      </c>
      <c r="D272" s="54" t="b">
        <f t="shared" si="12"/>
        <v>0</v>
      </c>
      <c r="E272" s="54" t="b">
        <f t="shared" si="13"/>
        <v>1</v>
      </c>
      <c r="F272" s="54" t="b">
        <f t="shared" si="14"/>
        <v>0</v>
      </c>
    </row>
    <row r="273" spans="1:6" hidden="1" x14ac:dyDescent="0.25">
      <c r="A273" s="47" t="s">
        <v>457</v>
      </c>
      <c r="B273" s="49" t="s">
        <v>458</v>
      </c>
      <c r="C273" s="56">
        <v>10.6</v>
      </c>
      <c r="D273" s="54" t="b">
        <f t="shared" si="12"/>
        <v>0</v>
      </c>
      <c r="E273" s="54" t="b">
        <f t="shared" si="13"/>
        <v>1</v>
      </c>
      <c r="F273" s="54" t="b">
        <f t="shared" si="14"/>
        <v>0</v>
      </c>
    </row>
    <row r="274" spans="1:6" hidden="1" x14ac:dyDescent="0.25">
      <c r="A274" s="43" t="s">
        <v>459</v>
      </c>
      <c r="B274" s="43" t="s">
        <v>460</v>
      </c>
      <c r="C274" s="56">
        <v>0.23</v>
      </c>
      <c r="D274" s="54" t="b">
        <f t="shared" si="12"/>
        <v>1</v>
      </c>
      <c r="E274" s="54" t="b">
        <f t="shared" si="13"/>
        <v>0</v>
      </c>
      <c r="F274" s="54" t="b">
        <f t="shared" si="14"/>
        <v>0</v>
      </c>
    </row>
    <row r="275" spans="1:6" hidden="1" x14ac:dyDescent="0.25">
      <c r="A275" s="48" t="s">
        <v>461</v>
      </c>
      <c r="B275" s="59" t="s">
        <v>462</v>
      </c>
      <c r="C275" s="56">
        <v>0.39</v>
      </c>
      <c r="D275" s="54" t="b">
        <f t="shared" si="12"/>
        <v>1</v>
      </c>
      <c r="E275" s="54" t="b">
        <f t="shared" si="13"/>
        <v>0</v>
      </c>
      <c r="F275" s="54" t="b">
        <f t="shared" si="14"/>
        <v>0</v>
      </c>
    </row>
    <row r="276" spans="1:6" hidden="1" x14ac:dyDescent="0.25">
      <c r="A276" s="48" t="s">
        <v>463</v>
      </c>
      <c r="B276" s="48" t="s">
        <v>464</v>
      </c>
      <c r="C276" s="56">
        <v>0.51</v>
      </c>
      <c r="D276" s="54" t="b">
        <f t="shared" si="12"/>
        <v>0</v>
      </c>
      <c r="E276" s="54" t="b">
        <f t="shared" si="13"/>
        <v>0</v>
      </c>
      <c r="F276" s="54" t="b">
        <f t="shared" si="14"/>
        <v>0</v>
      </c>
    </row>
    <row r="277" spans="1:6" hidden="1" x14ac:dyDescent="0.25">
      <c r="A277" s="48" t="s">
        <v>465</v>
      </c>
      <c r="B277" s="48" t="s">
        <v>466</v>
      </c>
      <c r="C277" s="56">
        <v>0.6</v>
      </c>
      <c r="D277" s="54" t="b">
        <f t="shared" si="12"/>
        <v>1</v>
      </c>
      <c r="E277" s="54" t="b">
        <f t="shared" si="13"/>
        <v>0</v>
      </c>
      <c r="F277" s="54" t="b">
        <f t="shared" si="14"/>
        <v>0</v>
      </c>
    </row>
    <row r="278" spans="1:6" hidden="1" x14ac:dyDescent="0.25">
      <c r="A278" s="48" t="s">
        <v>499</v>
      </c>
      <c r="B278" s="47" t="s">
        <v>500</v>
      </c>
      <c r="C278" s="56">
        <v>0.93</v>
      </c>
      <c r="D278" s="54" t="b">
        <f t="shared" si="12"/>
        <v>0</v>
      </c>
      <c r="E278" s="54" t="b">
        <f t="shared" si="13"/>
        <v>0</v>
      </c>
      <c r="F278" s="54" t="b">
        <f t="shared" si="14"/>
        <v>0</v>
      </c>
    </row>
    <row r="279" spans="1:6" hidden="1" x14ac:dyDescent="0.25">
      <c r="A279" s="43" t="s">
        <v>467</v>
      </c>
      <c r="B279" s="43" t="s">
        <v>468</v>
      </c>
      <c r="C279" s="56">
        <v>0.49</v>
      </c>
      <c r="D279" s="54" t="b">
        <f t="shared" si="12"/>
        <v>0</v>
      </c>
      <c r="E279" s="54" t="b">
        <f t="shared" si="13"/>
        <v>0</v>
      </c>
      <c r="F279" s="54" t="b">
        <f t="shared" si="14"/>
        <v>0</v>
      </c>
    </row>
    <row r="280" spans="1:6" hidden="1" x14ac:dyDescent="0.25">
      <c r="A280" s="50" t="s">
        <v>469</v>
      </c>
      <c r="B280" s="50" t="s">
        <v>470</v>
      </c>
      <c r="C280" s="56">
        <v>0.85</v>
      </c>
      <c r="D280" s="54" t="b">
        <f t="shared" si="12"/>
        <v>0</v>
      </c>
      <c r="E280" s="54" t="b">
        <f t="shared" si="13"/>
        <v>0</v>
      </c>
      <c r="F280" s="54" t="b">
        <f t="shared" si="14"/>
        <v>0</v>
      </c>
    </row>
    <row r="281" spans="1:6" hidden="1" x14ac:dyDescent="0.25">
      <c r="A281" s="52" t="s">
        <v>471</v>
      </c>
      <c r="B281" s="43" t="s">
        <v>472</v>
      </c>
      <c r="C281" s="56">
        <v>2.1</v>
      </c>
      <c r="D281" s="54" t="b">
        <f t="shared" si="12"/>
        <v>0</v>
      </c>
      <c r="E281" s="54" t="b">
        <f t="shared" si="13"/>
        <v>0</v>
      </c>
      <c r="F281" s="54" t="b">
        <f t="shared" si="14"/>
        <v>0</v>
      </c>
    </row>
    <row r="282" spans="1:6" hidden="1" x14ac:dyDescent="0.25">
      <c r="A282" s="48" t="s">
        <v>493</v>
      </c>
      <c r="B282" s="47" t="s">
        <v>501</v>
      </c>
      <c r="C282" s="56">
        <v>1.1000000000000001</v>
      </c>
      <c r="D282" s="54" t="b">
        <f t="shared" si="12"/>
        <v>0</v>
      </c>
      <c r="E282" s="54" t="b">
        <f t="shared" si="13"/>
        <v>0</v>
      </c>
      <c r="F282" s="54" t="b">
        <f t="shared" si="14"/>
        <v>0</v>
      </c>
    </row>
    <row r="283" spans="1:6" hidden="1" x14ac:dyDescent="0.25">
      <c r="A283" s="48" t="s">
        <v>494</v>
      </c>
      <c r="B283" s="47" t="s">
        <v>502</v>
      </c>
      <c r="C283" s="56">
        <v>1.3</v>
      </c>
      <c r="D283" s="54" t="b">
        <f t="shared" si="12"/>
        <v>0</v>
      </c>
      <c r="E283" s="54" t="b">
        <f t="shared" si="13"/>
        <v>0</v>
      </c>
      <c r="F283" s="54" t="b">
        <f t="shared" si="14"/>
        <v>0</v>
      </c>
    </row>
    <row r="284" spans="1:6" hidden="1" x14ac:dyDescent="0.25">
      <c r="A284" s="48" t="s">
        <v>495</v>
      </c>
      <c r="B284" s="47" t="s">
        <v>503</v>
      </c>
      <c r="C284" s="56">
        <v>1.4</v>
      </c>
      <c r="D284" s="54" t="b">
        <f t="shared" si="12"/>
        <v>0</v>
      </c>
      <c r="E284" s="54" t="b">
        <f t="shared" si="13"/>
        <v>0</v>
      </c>
      <c r="F284" s="54" t="b">
        <f t="shared" si="14"/>
        <v>0</v>
      </c>
    </row>
    <row r="285" spans="1:6" hidden="1" x14ac:dyDescent="0.25">
      <c r="A285" s="50" t="s">
        <v>473</v>
      </c>
      <c r="B285" s="50" t="s">
        <v>474</v>
      </c>
      <c r="C285" s="56">
        <v>1.3</v>
      </c>
      <c r="D285" s="54" t="b">
        <f t="shared" si="12"/>
        <v>0</v>
      </c>
      <c r="E285" s="54" t="b">
        <f t="shared" si="13"/>
        <v>0</v>
      </c>
      <c r="F285" s="54" t="b">
        <f t="shared" si="14"/>
        <v>0</v>
      </c>
    </row>
    <row r="286" spans="1:6" hidden="1" x14ac:dyDescent="0.25">
      <c r="A286" s="52" t="s">
        <v>475</v>
      </c>
      <c r="B286" s="43" t="s">
        <v>476</v>
      </c>
      <c r="C286" s="56">
        <v>3.8</v>
      </c>
      <c r="D286" s="54" t="b">
        <f t="shared" si="12"/>
        <v>0</v>
      </c>
      <c r="E286" s="54" t="b">
        <f t="shared" si="13"/>
        <v>0</v>
      </c>
      <c r="F286" s="54" t="b">
        <f t="shared" si="14"/>
        <v>0</v>
      </c>
    </row>
    <row r="287" spans="1:6" hidden="1" x14ac:dyDescent="0.25">
      <c r="A287" s="48" t="s">
        <v>582</v>
      </c>
      <c r="B287" s="48" t="s">
        <v>504</v>
      </c>
      <c r="C287" s="56">
        <v>1.7</v>
      </c>
      <c r="D287" s="54" t="b">
        <f t="shared" si="12"/>
        <v>0</v>
      </c>
      <c r="E287" s="54" t="b">
        <f t="shared" si="13"/>
        <v>0</v>
      </c>
      <c r="F287" s="54" t="b">
        <f t="shared" si="14"/>
        <v>0</v>
      </c>
    </row>
    <row r="288" spans="1:6" hidden="1" x14ac:dyDescent="0.25">
      <c r="A288" s="48" t="s">
        <v>481</v>
      </c>
      <c r="B288" s="48" t="s">
        <v>482</v>
      </c>
      <c r="C288" s="56">
        <v>1.3</v>
      </c>
      <c r="D288" s="54" t="b">
        <f t="shared" si="12"/>
        <v>0</v>
      </c>
      <c r="E288" s="54" t="b">
        <f t="shared" si="13"/>
        <v>0</v>
      </c>
      <c r="F288" s="54" t="b">
        <f t="shared" si="14"/>
        <v>0</v>
      </c>
    </row>
    <row r="289" spans="1:6" hidden="1" x14ac:dyDescent="0.25">
      <c r="A289" s="50" t="s">
        <v>477</v>
      </c>
      <c r="B289" s="50" t="s">
        <v>478</v>
      </c>
      <c r="C289" s="56">
        <v>1.8</v>
      </c>
      <c r="D289" s="54" t="b">
        <f t="shared" si="12"/>
        <v>0</v>
      </c>
      <c r="E289" s="54" t="b">
        <f t="shared" si="13"/>
        <v>0</v>
      </c>
      <c r="F289" s="54" t="b">
        <f t="shared" si="14"/>
        <v>0</v>
      </c>
    </row>
    <row r="290" spans="1:6" hidden="1" x14ac:dyDescent="0.25">
      <c r="A290" s="58" t="s">
        <v>479</v>
      </c>
      <c r="B290" s="50" t="s">
        <v>480</v>
      </c>
      <c r="C290" s="56">
        <v>2.4</v>
      </c>
      <c r="D290" s="54" t="b">
        <f t="shared" si="12"/>
        <v>0</v>
      </c>
      <c r="E290" s="54" t="b">
        <f t="shared" si="13"/>
        <v>0</v>
      </c>
      <c r="F290" s="54" t="b">
        <f t="shared" si="14"/>
        <v>0</v>
      </c>
    </row>
    <row r="291" spans="1:6" hidden="1" x14ac:dyDescent="0.25">
      <c r="A291" s="48" t="s">
        <v>498</v>
      </c>
      <c r="B291" s="47" t="s">
        <v>507</v>
      </c>
      <c r="C291" s="56">
        <v>10.8</v>
      </c>
      <c r="D291" s="54" t="b">
        <f t="shared" si="12"/>
        <v>0</v>
      </c>
      <c r="E291" s="54" t="b">
        <f t="shared" si="13"/>
        <v>0</v>
      </c>
      <c r="F291" s="54" t="b">
        <f t="shared" si="14"/>
        <v>0</v>
      </c>
    </row>
    <row r="292" spans="1:6" hidden="1" x14ac:dyDescent="0.25">
      <c r="A292" s="48" t="s">
        <v>583</v>
      </c>
      <c r="B292" s="47" t="s">
        <v>505</v>
      </c>
      <c r="C292" s="56">
        <v>3.5</v>
      </c>
      <c r="D292" s="54" t="b">
        <f t="shared" si="12"/>
        <v>0</v>
      </c>
      <c r="E292" s="54" t="b">
        <f t="shared" si="13"/>
        <v>0</v>
      </c>
      <c r="F292" s="54" t="b">
        <f t="shared" si="14"/>
        <v>0</v>
      </c>
    </row>
    <row r="293" spans="1:6" hidden="1" x14ac:dyDescent="0.25">
      <c r="A293" s="48" t="s">
        <v>584</v>
      </c>
      <c r="B293" s="47" t="s">
        <v>496</v>
      </c>
      <c r="C293" s="56">
        <v>4.8</v>
      </c>
      <c r="D293" s="54" t="b">
        <f t="shared" si="12"/>
        <v>0</v>
      </c>
      <c r="E293" s="54" t="b">
        <f t="shared" si="13"/>
        <v>0</v>
      </c>
      <c r="F293" s="54" t="b">
        <f t="shared" si="14"/>
        <v>0</v>
      </c>
    </row>
    <row r="294" spans="1:6" hidden="1" x14ac:dyDescent="0.25">
      <c r="A294" s="48" t="s">
        <v>585</v>
      </c>
      <c r="B294" s="47" t="s">
        <v>506</v>
      </c>
      <c r="C294" s="56">
        <v>4.4000000000000004</v>
      </c>
      <c r="D294" s="54" t="b">
        <f t="shared" si="12"/>
        <v>0</v>
      </c>
      <c r="E294" s="54" t="b">
        <f t="shared" si="13"/>
        <v>0</v>
      </c>
      <c r="F294" s="54" t="b">
        <f t="shared" si="14"/>
        <v>0</v>
      </c>
    </row>
    <row r="295" spans="1:6" hidden="1" x14ac:dyDescent="0.25">
      <c r="A295" s="48" t="s">
        <v>586</v>
      </c>
      <c r="B295" s="47" t="s">
        <v>497</v>
      </c>
      <c r="C295" s="56">
        <v>6.3</v>
      </c>
      <c r="D295" s="54" t="b">
        <f t="shared" si="12"/>
        <v>0</v>
      </c>
      <c r="E295" s="54" t="b">
        <f t="shared" si="13"/>
        <v>0</v>
      </c>
      <c r="F295" s="54" t="b">
        <f t="shared" si="14"/>
        <v>0</v>
      </c>
    </row>
    <row r="296" spans="1:6" hidden="1" x14ac:dyDescent="0.25">
      <c r="A296" s="47" t="s">
        <v>483</v>
      </c>
      <c r="B296" s="49" t="s">
        <v>484</v>
      </c>
      <c r="C296" s="56">
        <v>0.57999999999999996</v>
      </c>
      <c r="D296" s="54" t="b">
        <f t="shared" si="12"/>
        <v>0</v>
      </c>
      <c r="E296" s="54" t="b">
        <f t="shared" si="13"/>
        <v>1</v>
      </c>
      <c r="F296" s="54" t="b">
        <f t="shared" si="14"/>
        <v>0</v>
      </c>
    </row>
    <row r="297" spans="1:6" hidden="1" x14ac:dyDescent="0.25">
      <c r="A297" s="44" t="s">
        <v>485</v>
      </c>
      <c r="B297" s="44" t="s">
        <v>486</v>
      </c>
      <c r="C297" s="56">
        <v>2.5</v>
      </c>
      <c r="D297" s="54" t="b">
        <f t="shared" si="12"/>
        <v>0</v>
      </c>
      <c r="E297" s="54" t="b">
        <f t="shared" si="13"/>
        <v>1</v>
      </c>
      <c r="F297" s="54" t="b">
        <f t="shared" si="14"/>
        <v>0</v>
      </c>
    </row>
    <row r="298" spans="1:6" hidden="1" x14ac:dyDescent="0.25">
      <c r="A298" s="44" t="s">
        <v>487</v>
      </c>
      <c r="B298" s="43" t="s">
        <v>488</v>
      </c>
      <c r="C298" s="56">
        <v>0.76</v>
      </c>
      <c r="D298" s="54" t="b">
        <f t="shared" si="12"/>
        <v>0</v>
      </c>
      <c r="E298" s="54" t="b">
        <f t="shared" si="13"/>
        <v>1</v>
      </c>
      <c r="F298" s="54" t="b">
        <f t="shared" si="14"/>
        <v>0</v>
      </c>
    </row>
    <row r="299" spans="1:6" hidden="1" x14ac:dyDescent="0.25">
      <c r="A299" s="50" t="s">
        <v>489</v>
      </c>
      <c r="B299" s="50" t="s">
        <v>490</v>
      </c>
      <c r="C299" s="56">
        <v>1.2</v>
      </c>
      <c r="D299" s="54" t="b">
        <f t="shared" si="12"/>
        <v>0</v>
      </c>
      <c r="E299" s="54" t="b">
        <f t="shared" si="13"/>
        <v>1</v>
      </c>
      <c r="F299" s="54" t="b">
        <f t="shared" si="14"/>
        <v>0</v>
      </c>
    </row>
    <row r="300" spans="1:6" hidden="1" x14ac:dyDescent="0.25">
      <c r="A300" s="48" t="s">
        <v>509</v>
      </c>
      <c r="B300" s="44" t="s">
        <v>510</v>
      </c>
      <c r="C300" s="56">
        <v>3.6</v>
      </c>
      <c r="D300" s="54" t="b">
        <f t="shared" si="12"/>
        <v>0</v>
      </c>
      <c r="E300" s="54" t="b">
        <f t="shared" si="13"/>
        <v>1</v>
      </c>
      <c r="F300" s="54" t="b">
        <f t="shared" si="14"/>
        <v>0</v>
      </c>
    </row>
    <row r="301" spans="1:6" hidden="1" x14ac:dyDescent="0.25">
      <c r="A301" s="44" t="s">
        <v>491</v>
      </c>
      <c r="B301" s="44" t="s">
        <v>492</v>
      </c>
      <c r="C301" s="56">
        <v>0.84</v>
      </c>
      <c r="D301" s="54" t="b">
        <f t="shared" si="12"/>
        <v>0</v>
      </c>
      <c r="E301" s="54" t="b">
        <f t="shared" si="13"/>
        <v>1</v>
      </c>
      <c r="F301" s="54" t="b">
        <f t="shared" si="14"/>
        <v>0</v>
      </c>
    </row>
  </sheetData>
  <autoFilter ref="A1:F301" xr:uid="{F8EF8C98-64DB-43EA-8355-80D3E120AB2D}">
    <filterColumn colId="5">
      <filters>
        <filter val="TRU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0D59-10CC-420C-88D3-91CC4B49F2CA}">
  <dimension ref="A1:H74"/>
  <sheetViews>
    <sheetView workbookViewId="0">
      <selection activeCell="E74" sqref="A1:E74"/>
    </sheetView>
  </sheetViews>
  <sheetFormatPr defaultRowHeight="15.75" x14ac:dyDescent="0.25"/>
  <cols>
    <col min="1" max="1" width="25.5" bestFit="1" customWidth="1"/>
    <col min="2" max="2" width="39.25" bestFit="1" customWidth="1"/>
    <col min="3" max="3" width="11.125" bestFit="1" customWidth="1"/>
    <col min="4" max="5" width="24.125" customWidth="1"/>
    <col min="6" max="6" width="88.75" bestFit="1" customWidth="1"/>
    <col min="7" max="7" width="110.5" bestFit="1" customWidth="1"/>
    <col min="8" max="8" width="111.5" bestFit="1" customWidth="1"/>
  </cols>
  <sheetData>
    <row r="1" spans="1:8" x14ac:dyDescent="0.25">
      <c r="A1" s="48" t="s">
        <v>657</v>
      </c>
      <c r="B1" s="48" t="s">
        <v>653</v>
      </c>
      <c r="C1" s="60" t="s">
        <v>658</v>
      </c>
      <c r="D1" t="s">
        <v>661</v>
      </c>
      <c r="E1" t="s">
        <v>689</v>
      </c>
      <c r="F1" t="s">
        <v>659</v>
      </c>
      <c r="G1" t="s">
        <v>670</v>
      </c>
      <c r="H1" t="s">
        <v>665</v>
      </c>
    </row>
    <row r="2" spans="1:8" x14ac:dyDescent="0.25">
      <c r="A2" s="43" t="s">
        <v>3</v>
      </c>
      <c r="B2" s="43" t="s">
        <v>4</v>
      </c>
      <c r="C2" s="56">
        <v>0.23</v>
      </c>
      <c r="D2">
        <v>0.62109999999999999</v>
      </c>
      <c r="E2">
        <f>C2/D2</f>
        <v>0.37031073901143136</v>
      </c>
      <c r="F2" t="s">
        <v>660</v>
      </c>
    </row>
    <row r="3" spans="1:8" ht="30" x14ac:dyDescent="0.25">
      <c r="A3" s="44" t="s">
        <v>5</v>
      </c>
      <c r="B3" s="44" t="s">
        <v>683</v>
      </c>
      <c r="C3" s="56">
        <v>0.29599999999999999</v>
      </c>
      <c r="D3">
        <v>0.66059999999999997</v>
      </c>
      <c r="E3">
        <f t="shared" ref="E3:E66" si="0">C3/D3</f>
        <v>0.44807750529821377</v>
      </c>
      <c r="F3" s="63" t="s">
        <v>684</v>
      </c>
      <c r="G3" s="61"/>
      <c r="H3" s="63" t="s">
        <v>666</v>
      </c>
    </row>
    <row r="4" spans="1:8" ht="30" x14ac:dyDescent="0.25">
      <c r="A4" s="43" t="s">
        <v>7</v>
      </c>
      <c r="B4" s="43" t="s">
        <v>8</v>
      </c>
      <c r="C4" s="56">
        <v>0.39</v>
      </c>
      <c r="D4">
        <v>0.67949999999999999</v>
      </c>
      <c r="E4">
        <f t="shared" si="0"/>
        <v>0.57395143487858724</v>
      </c>
      <c r="F4" s="61" t="s">
        <v>662</v>
      </c>
      <c r="G4" s="61"/>
      <c r="H4" s="63" t="s">
        <v>667</v>
      </c>
    </row>
    <row r="5" spans="1:8" x14ac:dyDescent="0.25">
      <c r="A5" s="43" t="s">
        <v>9</v>
      </c>
      <c r="B5" s="43" t="s">
        <v>10</v>
      </c>
      <c r="C5" s="56">
        <v>0.51</v>
      </c>
      <c r="D5">
        <v>0.6986</v>
      </c>
      <c r="E5">
        <f t="shared" si="0"/>
        <v>0.73003149155453761</v>
      </c>
      <c r="F5" t="s">
        <v>663</v>
      </c>
      <c r="H5" s="62" t="s">
        <v>664</v>
      </c>
    </row>
    <row r="6" spans="1:8" x14ac:dyDescent="0.25">
      <c r="A6" s="43" t="s">
        <v>11</v>
      </c>
      <c r="B6" s="43" t="s">
        <v>12</v>
      </c>
      <c r="C6" s="56">
        <v>0.66</v>
      </c>
      <c r="D6">
        <v>0.71499999999999997</v>
      </c>
      <c r="E6">
        <f t="shared" si="0"/>
        <v>0.92307692307692313</v>
      </c>
      <c r="F6" s="64" t="s">
        <v>669</v>
      </c>
      <c r="G6" s="64"/>
    </row>
    <row r="7" spans="1:8" x14ac:dyDescent="0.25">
      <c r="A7" s="43" t="s">
        <v>13</v>
      </c>
      <c r="B7" s="43" t="s">
        <v>14</v>
      </c>
      <c r="C7" s="56">
        <v>0.86</v>
      </c>
      <c r="D7">
        <v>0.72550000000000003</v>
      </c>
      <c r="E7">
        <f t="shared" si="0"/>
        <v>1.1853893866299103</v>
      </c>
      <c r="F7" s="62" t="s">
        <v>668</v>
      </c>
      <c r="G7" s="62"/>
    </row>
    <row r="8" spans="1:8" x14ac:dyDescent="0.25">
      <c r="A8" s="43" t="s">
        <v>15</v>
      </c>
      <c r="B8" s="43" t="s">
        <v>16</v>
      </c>
      <c r="C8" s="56">
        <v>1.1000000000000001</v>
      </c>
      <c r="D8">
        <v>0.73699999999999999</v>
      </c>
      <c r="E8">
        <f t="shared" si="0"/>
        <v>1.4925373134328359</v>
      </c>
      <c r="F8" s="64" t="s">
        <v>669</v>
      </c>
      <c r="G8" s="64"/>
    </row>
    <row r="9" spans="1:8" x14ac:dyDescent="0.25">
      <c r="A9" s="43" t="s">
        <v>17</v>
      </c>
      <c r="B9" s="43" t="s">
        <v>18</v>
      </c>
      <c r="C9" s="56">
        <v>1.7</v>
      </c>
      <c r="D9">
        <v>0.754</v>
      </c>
      <c r="E9">
        <f t="shared" si="0"/>
        <v>2.2546419098143233</v>
      </c>
      <c r="F9" s="64" t="s">
        <v>669</v>
      </c>
    </row>
    <row r="10" spans="1:8" x14ac:dyDescent="0.25">
      <c r="A10" s="43" t="s">
        <v>19</v>
      </c>
      <c r="B10" s="45" t="s">
        <v>20</v>
      </c>
      <c r="C10" s="56">
        <v>2.54</v>
      </c>
      <c r="D10">
        <v>0.76500000000000001</v>
      </c>
      <c r="E10">
        <f t="shared" si="0"/>
        <v>3.3202614379084969</v>
      </c>
      <c r="F10" s="64" t="s">
        <v>669</v>
      </c>
    </row>
    <row r="11" spans="1:8" x14ac:dyDescent="0.25">
      <c r="A11" s="43" t="s">
        <v>21</v>
      </c>
      <c r="B11" s="45" t="s">
        <v>22</v>
      </c>
      <c r="C11" s="56">
        <v>3.06</v>
      </c>
      <c r="D11">
        <v>0.77</v>
      </c>
      <c r="E11">
        <f t="shared" si="0"/>
        <v>3.9740259740259738</v>
      </c>
      <c r="F11" s="64" t="s">
        <v>669</v>
      </c>
    </row>
    <row r="12" spans="1:8" x14ac:dyDescent="0.25">
      <c r="A12" s="43" t="s">
        <v>23</v>
      </c>
      <c r="B12" s="45" t="s">
        <v>24</v>
      </c>
      <c r="C12" s="56">
        <v>3.61</v>
      </c>
      <c r="D12">
        <v>0.77300000000000002</v>
      </c>
      <c r="E12">
        <f t="shared" si="0"/>
        <v>4.6701164294954722</v>
      </c>
      <c r="F12" s="64" t="s">
        <v>669</v>
      </c>
    </row>
    <row r="13" spans="1:8" x14ac:dyDescent="0.25">
      <c r="A13" s="52" t="s">
        <v>25</v>
      </c>
      <c r="B13" s="45" t="s">
        <v>26</v>
      </c>
      <c r="C13" s="56">
        <v>29.7</v>
      </c>
      <c r="D13">
        <v>0.81</v>
      </c>
      <c r="E13">
        <f t="shared" si="0"/>
        <v>36.666666666666664</v>
      </c>
      <c r="F13" s="64" t="s">
        <v>672</v>
      </c>
      <c r="G13" t="s">
        <v>671</v>
      </c>
    </row>
    <row r="14" spans="1:8" ht="30" x14ac:dyDescent="0.25">
      <c r="A14" s="52" t="s">
        <v>27</v>
      </c>
      <c r="B14" s="45" t="s">
        <v>28</v>
      </c>
      <c r="C14" s="56">
        <v>0.34</v>
      </c>
      <c r="D14">
        <v>0.64439999999999997</v>
      </c>
      <c r="E14">
        <f t="shared" si="0"/>
        <v>0.52762259466170092</v>
      </c>
      <c r="F14" s="63" t="s">
        <v>673</v>
      </c>
    </row>
    <row r="15" spans="1:8" x14ac:dyDescent="0.25">
      <c r="A15" s="52" t="s">
        <v>29</v>
      </c>
      <c r="B15" s="45" t="s">
        <v>30</v>
      </c>
      <c r="C15" s="56">
        <v>0.33</v>
      </c>
      <c r="D15">
        <v>0.65800000000000003</v>
      </c>
      <c r="E15">
        <f t="shared" si="0"/>
        <v>0.50151975683890582</v>
      </c>
      <c r="F15" s="64" t="s">
        <v>674</v>
      </c>
    </row>
    <row r="16" spans="1:8" x14ac:dyDescent="0.25">
      <c r="A16" s="52" t="s">
        <v>31</v>
      </c>
      <c r="B16" s="45" t="s">
        <v>32</v>
      </c>
      <c r="C16" s="56">
        <v>0.55000000000000004</v>
      </c>
      <c r="D16">
        <v>0.68700000000000006</v>
      </c>
      <c r="E16">
        <f t="shared" si="0"/>
        <v>0.80058224163027658</v>
      </c>
      <c r="F16" s="64" t="s">
        <v>675</v>
      </c>
    </row>
    <row r="17" spans="1:6" x14ac:dyDescent="0.25">
      <c r="A17" s="52" t="s">
        <v>33</v>
      </c>
      <c r="B17" s="45" t="s">
        <v>34</v>
      </c>
      <c r="C17" s="56">
        <v>0.31</v>
      </c>
      <c r="D17">
        <v>0.67300000000000004</v>
      </c>
      <c r="E17">
        <f t="shared" si="0"/>
        <v>0.46062407132243682</v>
      </c>
      <c r="F17" s="64" t="s">
        <v>674</v>
      </c>
    </row>
    <row r="18" spans="1:6" x14ac:dyDescent="0.25">
      <c r="A18" s="52" t="s">
        <v>35</v>
      </c>
      <c r="B18" s="45" t="s">
        <v>36</v>
      </c>
      <c r="C18" s="56">
        <v>0.35</v>
      </c>
      <c r="D18">
        <v>0.67400000000000004</v>
      </c>
      <c r="E18">
        <f t="shared" si="0"/>
        <v>0.51928783382789312</v>
      </c>
      <c r="F18" s="64" t="s">
        <v>674</v>
      </c>
    </row>
    <row r="19" spans="1:6" x14ac:dyDescent="0.25">
      <c r="A19" s="52" t="s">
        <v>37</v>
      </c>
      <c r="B19" s="45" t="s">
        <v>38</v>
      </c>
      <c r="C19" s="56">
        <v>0.56999999999999995</v>
      </c>
      <c r="D19">
        <v>0.71199999999999997</v>
      </c>
      <c r="E19">
        <f t="shared" si="0"/>
        <v>0.800561797752809</v>
      </c>
      <c r="F19" s="64" t="s">
        <v>674</v>
      </c>
    </row>
    <row r="20" spans="1:6" x14ac:dyDescent="0.25">
      <c r="A20" s="52" t="s">
        <v>39</v>
      </c>
      <c r="B20" s="45" t="s">
        <v>40</v>
      </c>
      <c r="C20" s="56">
        <v>0.47</v>
      </c>
      <c r="D20">
        <v>0.69</v>
      </c>
      <c r="E20">
        <f t="shared" si="0"/>
        <v>0.6811594202898551</v>
      </c>
      <c r="F20" s="64" t="s">
        <v>674</v>
      </c>
    </row>
    <row r="21" spans="1:6" x14ac:dyDescent="0.25">
      <c r="A21" s="52" t="s">
        <v>41</v>
      </c>
      <c r="B21" s="45" t="s">
        <v>42</v>
      </c>
      <c r="C21" s="56">
        <v>0.42299999999999999</v>
      </c>
      <c r="D21">
        <v>0.71</v>
      </c>
      <c r="E21">
        <f t="shared" si="0"/>
        <v>0.59577464788732393</v>
      </c>
      <c r="F21" s="64" t="s">
        <v>674</v>
      </c>
    </row>
    <row r="22" spans="1:6" x14ac:dyDescent="0.25">
      <c r="A22" s="52" t="s">
        <v>43</v>
      </c>
      <c r="B22" s="45" t="s">
        <v>44</v>
      </c>
      <c r="C22" s="56">
        <v>0.75</v>
      </c>
      <c r="D22">
        <v>0.71599999999999997</v>
      </c>
      <c r="E22">
        <f t="shared" si="0"/>
        <v>1.0474860335195531</v>
      </c>
      <c r="F22" s="64" t="s">
        <v>674</v>
      </c>
    </row>
    <row r="23" spans="1:6" x14ac:dyDescent="0.25">
      <c r="A23" s="44" t="s">
        <v>676</v>
      </c>
      <c r="B23" s="43" t="s">
        <v>46</v>
      </c>
      <c r="C23" s="56">
        <v>0.49</v>
      </c>
      <c r="D23">
        <v>0.69599999999999995</v>
      </c>
      <c r="E23">
        <f t="shared" si="0"/>
        <v>0.70402298850574718</v>
      </c>
      <c r="F23" s="64" t="s">
        <v>674</v>
      </c>
    </row>
    <row r="24" spans="1:6" x14ac:dyDescent="0.25">
      <c r="A24" s="52" t="s">
        <v>47</v>
      </c>
      <c r="B24" s="45" t="s">
        <v>48</v>
      </c>
      <c r="C24" s="56">
        <v>0.63</v>
      </c>
      <c r="D24">
        <v>0.71</v>
      </c>
      <c r="E24">
        <f t="shared" si="0"/>
        <v>0.88732394366197187</v>
      </c>
      <c r="F24" s="64" t="s">
        <v>674</v>
      </c>
    </row>
    <row r="25" spans="1:6" x14ac:dyDescent="0.25">
      <c r="A25" s="53" t="s">
        <v>566</v>
      </c>
      <c r="B25" s="46" t="s">
        <v>567</v>
      </c>
      <c r="C25" s="56">
        <v>0.52</v>
      </c>
      <c r="D25">
        <v>0.72399999999999998</v>
      </c>
      <c r="E25">
        <f t="shared" si="0"/>
        <v>0.71823204419889508</v>
      </c>
      <c r="F25" s="64" t="s">
        <v>674</v>
      </c>
    </row>
    <row r="26" spans="1:6" x14ac:dyDescent="0.25">
      <c r="A26" s="48" t="s">
        <v>562</v>
      </c>
      <c r="B26" s="43" t="s">
        <v>677</v>
      </c>
      <c r="C26" s="56">
        <v>1.1000000000000001</v>
      </c>
      <c r="D26">
        <v>0.74</v>
      </c>
      <c r="E26">
        <f t="shared" si="0"/>
        <v>1.4864864864864866</v>
      </c>
      <c r="F26" s="64" t="s">
        <v>679</v>
      </c>
    </row>
    <row r="27" spans="1:6" x14ac:dyDescent="0.25">
      <c r="A27" s="48" t="s">
        <v>563</v>
      </c>
      <c r="B27" s="43" t="s">
        <v>564</v>
      </c>
      <c r="C27" s="56">
        <v>1.4</v>
      </c>
      <c r="D27" t="s">
        <v>678</v>
      </c>
    </row>
    <row r="28" spans="1:6" x14ac:dyDescent="0.25">
      <c r="A28" s="48" t="s">
        <v>568</v>
      </c>
      <c r="B28" s="43" t="s">
        <v>569</v>
      </c>
      <c r="C28" s="56">
        <v>2.2999999999999998</v>
      </c>
      <c r="D28" t="s">
        <v>678</v>
      </c>
    </row>
    <row r="29" spans="1:6" x14ac:dyDescent="0.25">
      <c r="A29" s="48" t="s">
        <v>570</v>
      </c>
      <c r="B29" s="47" t="s">
        <v>571</v>
      </c>
      <c r="C29" s="56">
        <v>2.8</v>
      </c>
      <c r="D29" t="s">
        <v>678</v>
      </c>
    </row>
    <row r="30" spans="1:6" x14ac:dyDescent="0.25">
      <c r="A30" s="48" t="s">
        <v>572</v>
      </c>
      <c r="B30" s="47" t="s">
        <v>573</v>
      </c>
      <c r="C30" s="56">
        <v>4.2</v>
      </c>
      <c r="D30" t="s">
        <v>678</v>
      </c>
    </row>
    <row r="31" spans="1:6" x14ac:dyDescent="0.25">
      <c r="A31" s="48" t="s">
        <v>574</v>
      </c>
      <c r="B31" s="48" t="s">
        <v>575</v>
      </c>
      <c r="C31" s="56">
        <v>5.7</v>
      </c>
      <c r="D31" t="s">
        <v>678</v>
      </c>
    </row>
    <row r="32" spans="1:6" x14ac:dyDescent="0.25">
      <c r="A32" s="44" t="s">
        <v>49</v>
      </c>
      <c r="B32" s="43" t="s">
        <v>50</v>
      </c>
      <c r="C32" s="56">
        <v>0.41</v>
      </c>
      <c r="D32">
        <v>0.75</v>
      </c>
      <c r="E32">
        <f t="shared" si="0"/>
        <v>0.54666666666666663</v>
      </c>
      <c r="F32" s="64" t="s">
        <v>679</v>
      </c>
    </row>
    <row r="33" spans="1:6" x14ac:dyDescent="0.25">
      <c r="A33" s="44" t="s">
        <v>51</v>
      </c>
      <c r="B33" s="44" t="s">
        <v>52</v>
      </c>
      <c r="C33" s="56">
        <v>0.9</v>
      </c>
      <c r="D33">
        <v>0.77300000000000002</v>
      </c>
      <c r="E33">
        <f t="shared" si="0"/>
        <v>1.1642949547218628</v>
      </c>
      <c r="F33" s="64" t="s">
        <v>679</v>
      </c>
    </row>
    <row r="34" spans="1:6" x14ac:dyDescent="0.25">
      <c r="A34" s="43" t="s">
        <v>53</v>
      </c>
      <c r="B34" s="45" t="s">
        <v>54</v>
      </c>
      <c r="C34" s="56">
        <v>1.37</v>
      </c>
      <c r="D34">
        <v>0.80600000000000005</v>
      </c>
      <c r="E34">
        <f t="shared" si="0"/>
        <v>1.6997518610421836</v>
      </c>
      <c r="F34" s="64" t="s">
        <v>679</v>
      </c>
    </row>
    <row r="35" spans="1:6" x14ac:dyDescent="0.25">
      <c r="A35" s="43" t="s">
        <v>55</v>
      </c>
      <c r="B35" s="45" t="s">
        <v>56</v>
      </c>
      <c r="C35" s="56">
        <v>2.2799999999999998</v>
      </c>
      <c r="D35">
        <v>0.83</v>
      </c>
      <c r="E35">
        <f t="shared" si="0"/>
        <v>2.7469879518072289</v>
      </c>
      <c r="F35" s="64" t="s">
        <v>679</v>
      </c>
    </row>
    <row r="36" spans="1:6" x14ac:dyDescent="0.25">
      <c r="A36" s="47" t="s">
        <v>57</v>
      </c>
      <c r="B36" s="49" t="s">
        <v>58</v>
      </c>
      <c r="C36" s="56">
        <v>0.48</v>
      </c>
      <c r="D36">
        <v>0.745</v>
      </c>
      <c r="E36">
        <f t="shared" si="0"/>
        <v>0.64429530201342278</v>
      </c>
      <c r="F36" s="64" t="s">
        <v>679</v>
      </c>
    </row>
    <row r="37" spans="1:6" x14ac:dyDescent="0.25">
      <c r="A37" s="47" t="s">
        <v>59</v>
      </c>
      <c r="B37" s="49" t="s">
        <v>60</v>
      </c>
      <c r="C37" s="56">
        <v>0.53</v>
      </c>
      <c r="D37">
        <v>0.76300000000000001</v>
      </c>
      <c r="E37">
        <f t="shared" si="0"/>
        <v>0.6946264744429882</v>
      </c>
      <c r="F37" s="64" t="s">
        <v>679</v>
      </c>
    </row>
    <row r="38" spans="1:6" x14ac:dyDescent="0.25">
      <c r="A38" s="47" t="s">
        <v>61</v>
      </c>
      <c r="B38" s="49" t="s">
        <v>62</v>
      </c>
      <c r="C38" s="56">
        <v>0.65</v>
      </c>
      <c r="D38">
        <v>0.77300000000000002</v>
      </c>
      <c r="E38">
        <f t="shared" si="0"/>
        <v>0.8408796895213454</v>
      </c>
      <c r="F38" s="64" t="s">
        <v>679</v>
      </c>
    </row>
    <row r="39" spans="1:6" x14ac:dyDescent="0.25">
      <c r="A39" s="47" t="s">
        <v>63</v>
      </c>
      <c r="B39" s="49" t="s">
        <v>64</v>
      </c>
      <c r="C39" s="56">
        <v>0.65</v>
      </c>
      <c r="D39">
        <v>0.77259999999999995</v>
      </c>
      <c r="E39">
        <f t="shared" si="0"/>
        <v>0.84131504012425584</v>
      </c>
      <c r="F39" s="64" t="s">
        <v>679</v>
      </c>
    </row>
    <row r="40" spans="1:6" x14ac:dyDescent="0.25">
      <c r="A40" s="47" t="s">
        <v>65</v>
      </c>
      <c r="B40" s="49" t="s">
        <v>66</v>
      </c>
      <c r="C40" s="56">
        <v>0.5</v>
      </c>
      <c r="D40">
        <v>0.77690000000000003</v>
      </c>
      <c r="E40">
        <f t="shared" si="0"/>
        <v>0.64358347277641903</v>
      </c>
      <c r="F40" s="64" t="s">
        <v>679</v>
      </c>
    </row>
    <row r="41" spans="1:6" x14ac:dyDescent="0.25">
      <c r="A41" s="47" t="s">
        <v>67</v>
      </c>
      <c r="B41" s="49" t="s">
        <v>68</v>
      </c>
      <c r="C41" s="56">
        <v>0.68</v>
      </c>
      <c r="D41">
        <v>0.76600000000000001</v>
      </c>
      <c r="E41">
        <f t="shared" si="0"/>
        <v>0.8877284595300261</v>
      </c>
      <c r="F41" s="64" t="s">
        <v>680</v>
      </c>
    </row>
    <row r="42" spans="1:6" x14ac:dyDescent="0.25">
      <c r="A42" s="47" t="s">
        <v>69</v>
      </c>
      <c r="B42" s="49" t="s">
        <v>681</v>
      </c>
      <c r="C42" s="56">
        <v>0.68</v>
      </c>
      <c r="D42">
        <v>0.76200000000000001</v>
      </c>
      <c r="E42">
        <f t="shared" si="0"/>
        <v>0.8923884514435696</v>
      </c>
      <c r="F42" s="64" t="s">
        <v>680</v>
      </c>
    </row>
    <row r="43" spans="1:6" x14ac:dyDescent="0.25">
      <c r="A43" s="47" t="s">
        <v>71</v>
      </c>
      <c r="B43" s="49" t="s">
        <v>682</v>
      </c>
      <c r="C43" s="56">
        <v>0.77</v>
      </c>
      <c r="D43">
        <v>0.77200000000000002</v>
      </c>
      <c r="E43">
        <f t="shared" si="0"/>
        <v>0.99740932642487046</v>
      </c>
      <c r="F43" s="64" t="s">
        <v>680</v>
      </c>
    </row>
    <row r="44" spans="1:6" x14ac:dyDescent="0.25">
      <c r="A44" s="47" t="s">
        <v>73</v>
      </c>
      <c r="B44" s="49" t="s">
        <v>74</v>
      </c>
      <c r="C44" s="56">
        <v>0.95</v>
      </c>
      <c r="D44">
        <v>0.79</v>
      </c>
      <c r="E44">
        <f t="shared" si="0"/>
        <v>1.2025316455696202</v>
      </c>
      <c r="F44" s="64" t="s">
        <v>680</v>
      </c>
    </row>
    <row r="45" spans="1:6" x14ac:dyDescent="0.25">
      <c r="A45" s="47" t="s">
        <v>75</v>
      </c>
      <c r="B45" s="49" t="s">
        <v>76</v>
      </c>
      <c r="C45" s="56">
        <v>0.98</v>
      </c>
      <c r="D45">
        <v>0.79800000000000004</v>
      </c>
      <c r="E45">
        <f t="shared" si="0"/>
        <v>1.2280701754385963</v>
      </c>
      <c r="F45" s="64" t="s">
        <v>680</v>
      </c>
    </row>
    <row r="46" spans="1:6" x14ac:dyDescent="0.25">
      <c r="A46" s="47" t="s">
        <v>77</v>
      </c>
      <c r="B46" s="49" t="s">
        <v>78</v>
      </c>
      <c r="C46" s="56">
        <v>1.22</v>
      </c>
      <c r="D46">
        <v>0.79600000000000004</v>
      </c>
      <c r="E46">
        <f t="shared" si="0"/>
        <v>1.5326633165829144</v>
      </c>
      <c r="F46" s="64" t="s">
        <v>680</v>
      </c>
    </row>
    <row r="47" spans="1:6" x14ac:dyDescent="0.25">
      <c r="A47" s="47" t="s">
        <v>685</v>
      </c>
      <c r="B47" s="49" t="s">
        <v>80</v>
      </c>
      <c r="C47" s="56">
        <v>1.1200000000000001</v>
      </c>
      <c r="D47">
        <v>0.79179999999999995</v>
      </c>
      <c r="E47">
        <f t="shared" si="0"/>
        <v>1.4144986107602933</v>
      </c>
      <c r="F47" s="64" t="s">
        <v>680</v>
      </c>
    </row>
    <row r="48" spans="1:6" x14ac:dyDescent="0.25">
      <c r="A48" s="44" t="s">
        <v>81</v>
      </c>
      <c r="B48" s="43" t="s">
        <v>82</v>
      </c>
      <c r="C48" s="56">
        <v>3.01</v>
      </c>
      <c r="D48">
        <v>0.89400000000000002</v>
      </c>
      <c r="E48">
        <f t="shared" si="0"/>
        <v>3.3668903803131989</v>
      </c>
      <c r="F48" s="64" t="s">
        <v>680</v>
      </c>
    </row>
    <row r="49" spans="1:6" x14ac:dyDescent="0.25">
      <c r="A49" s="52" t="s">
        <v>83</v>
      </c>
      <c r="B49" s="45" t="s">
        <v>84</v>
      </c>
      <c r="C49" s="56">
        <v>0.23</v>
      </c>
      <c r="D49">
        <v>0.76700000000000002</v>
      </c>
      <c r="E49">
        <f t="shared" si="0"/>
        <v>0.29986962190352023</v>
      </c>
      <c r="F49" s="64" t="s">
        <v>680</v>
      </c>
    </row>
    <row r="50" spans="1:6" x14ac:dyDescent="0.25">
      <c r="A50" s="47" t="s">
        <v>85</v>
      </c>
      <c r="B50" s="49" t="s">
        <v>86</v>
      </c>
      <c r="C50" s="56">
        <v>0.28999999999999998</v>
      </c>
      <c r="D50">
        <v>0.75900000000000001</v>
      </c>
      <c r="E50">
        <f t="shared" si="0"/>
        <v>0.38208168642951251</v>
      </c>
      <c r="F50" s="64" t="s">
        <v>686</v>
      </c>
    </row>
    <row r="51" spans="1:6" x14ac:dyDescent="0.25">
      <c r="A51" s="44" t="s">
        <v>87</v>
      </c>
      <c r="B51" s="43" t="s">
        <v>88</v>
      </c>
      <c r="C51" s="56">
        <v>0.62</v>
      </c>
      <c r="D51">
        <v>0.80600000000000005</v>
      </c>
      <c r="E51">
        <f t="shared" si="0"/>
        <v>0.76923076923076916</v>
      </c>
      <c r="F51" s="64" t="s">
        <v>686</v>
      </c>
    </row>
    <row r="52" spans="1:6" x14ac:dyDescent="0.25">
      <c r="A52" s="47" t="s">
        <v>89</v>
      </c>
      <c r="B52" s="49" t="s">
        <v>90</v>
      </c>
      <c r="C52" s="56">
        <v>0.42</v>
      </c>
      <c r="D52">
        <v>0.80659999999999998</v>
      </c>
      <c r="E52">
        <f t="shared" si="0"/>
        <v>0.5207041904289611</v>
      </c>
      <c r="F52" s="64" t="s">
        <v>686</v>
      </c>
    </row>
    <row r="53" spans="1:6" x14ac:dyDescent="0.25">
      <c r="A53" s="44" t="s">
        <v>91</v>
      </c>
      <c r="B53" s="44" t="s">
        <v>92</v>
      </c>
      <c r="C53" s="56">
        <v>0.61</v>
      </c>
      <c r="D53">
        <v>0.873</v>
      </c>
      <c r="E53">
        <f t="shared" si="0"/>
        <v>0.69873997709049251</v>
      </c>
      <c r="F53" s="64" t="s">
        <v>686</v>
      </c>
    </row>
    <row r="54" spans="1:6" x14ac:dyDescent="0.25">
      <c r="A54" s="44" t="s">
        <v>93</v>
      </c>
      <c r="B54" s="44" t="s">
        <v>94</v>
      </c>
      <c r="C54" s="56">
        <v>0.55000000000000004</v>
      </c>
      <c r="D54">
        <v>0.86499999999999999</v>
      </c>
      <c r="E54">
        <f t="shared" si="0"/>
        <v>0.63583815028901736</v>
      </c>
      <c r="F54" s="64" t="s">
        <v>686</v>
      </c>
    </row>
    <row r="55" spans="1:6" x14ac:dyDescent="0.25">
      <c r="A55" s="44" t="s">
        <v>95</v>
      </c>
      <c r="B55" s="44" t="s">
        <v>96</v>
      </c>
      <c r="C55" s="56">
        <v>0.76</v>
      </c>
      <c r="D55">
        <v>0.876</v>
      </c>
      <c r="E55">
        <f t="shared" si="0"/>
        <v>0.86757990867579915</v>
      </c>
      <c r="F55" s="64" t="s">
        <v>686</v>
      </c>
    </row>
    <row r="56" spans="1:6" x14ac:dyDescent="0.25">
      <c r="A56" s="44" t="s">
        <v>97</v>
      </c>
      <c r="B56" s="44" t="s">
        <v>98</v>
      </c>
      <c r="C56" s="56">
        <v>0.57999999999999996</v>
      </c>
      <c r="D56">
        <v>0.86099999999999999</v>
      </c>
      <c r="E56">
        <f t="shared" si="0"/>
        <v>0.67363530778164926</v>
      </c>
      <c r="F56" s="64" t="s">
        <v>686</v>
      </c>
    </row>
    <row r="57" spans="1:6" x14ac:dyDescent="0.25">
      <c r="A57" s="44" t="s">
        <v>99</v>
      </c>
      <c r="B57" s="44" t="s">
        <v>100</v>
      </c>
      <c r="C57" s="56">
        <v>0.6</v>
      </c>
      <c r="D57">
        <v>0.85799999999999998</v>
      </c>
      <c r="E57">
        <f t="shared" si="0"/>
        <v>0.69930069930069927</v>
      </c>
      <c r="F57" s="64" t="s">
        <v>686</v>
      </c>
    </row>
    <row r="58" spans="1:6" x14ac:dyDescent="0.25">
      <c r="A58" s="44" t="s">
        <v>101</v>
      </c>
      <c r="B58" s="44" t="s">
        <v>102</v>
      </c>
      <c r="C58" s="56">
        <v>0.63</v>
      </c>
      <c r="D58">
        <v>0.86499999999999999</v>
      </c>
      <c r="E58">
        <f t="shared" si="0"/>
        <v>0.72832369942196529</v>
      </c>
      <c r="F58" s="64" t="s">
        <v>686</v>
      </c>
    </row>
    <row r="59" spans="1:6" x14ac:dyDescent="0.25">
      <c r="A59" s="47" t="s">
        <v>103</v>
      </c>
      <c r="B59" s="49" t="s">
        <v>104</v>
      </c>
      <c r="C59" s="56">
        <v>0.86</v>
      </c>
      <c r="D59">
        <v>0.89100000000000001</v>
      </c>
      <c r="E59">
        <f t="shared" si="0"/>
        <v>0.96520763187429848</v>
      </c>
      <c r="F59" s="64" t="s">
        <v>686</v>
      </c>
    </row>
    <row r="60" spans="1:6" x14ac:dyDescent="0.25">
      <c r="A60" s="47" t="s">
        <v>105</v>
      </c>
      <c r="B60" s="49" t="s">
        <v>106</v>
      </c>
      <c r="C60" s="56">
        <v>0.92</v>
      </c>
      <c r="D60">
        <v>0.872</v>
      </c>
      <c r="E60">
        <f t="shared" si="0"/>
        <v>1.0550458715596331</v>
      </c>
      <c r="F60" s="64" t="s">
        <v>686</v>
      </c>
    </row>
    <row r="61" spans="1:6" x14ac:dyDescent="0.25">
      <c r="A61" s="44" t="s">
        <v>107</v>
      </c>
      <c r="B61" s="43" t="s">
        <v>108</v>
      </c>
      <c r="C61" s="56">
        <v>0.69</v>
      </c>
      <c r="D61">
        <v>0.86099999999999999</v>
      </c>
      <c r="E61">
        <f t="shared" si="0"/>
        <v>0.80139372822299648</v>
      </c>
      <c r="F61" s="64" t="s">
        <v>686</v>
      </c>
    </row>
    <row r="62" spans="1:6" x14ac:dyDescent="0.25">
      <c r="A62" s="47" t="s">
        <v>109</v>
      </c>
      <c r="B62" s="49" t="s">
        <v>110</v>
      </c>
      <c r="C62" s="56">
        <v>0.79</v>
      </c>
      <c r="D62">
        <v>0.86</v>
      </c>
      <c r="E62">
        <f t="shared" si="0"/>
        <v>0.91860465116279078</v>
      </c>
      <c r="F62" s="64" t="s">
        <v>686</v>
      </c>
    </row>
    <row r="63" spans="1:6" x14ac:dyDescent="0.25">
      <c r="A63" s="47" t="s">
        <v>111</v>
      </c>
      <c r="B63" s="49" t="s">
        <v>112</v>
      </c>
      <c r="C63" s="56">
        <v>0.9</v>
      </c>
      <c r="D63">
        <v>0.876</v>
      </c>
      <c r="E63">
        <f t="shared" si="0"/>
        <v>1.0273972602739727</v>
      </c>
      <c r="F63" s="64" t="s">
        <v>686</v>
      </c>
    </row>
    <row r="64" spans="1:6" x14ac:dyDescent="0.25">
      <c r="A64" s="47" t="s">
        <v>113</v>
      </c>
      <c r="B64" s="49" t="s">
        <v>114</v>
      </c>
      <c r="C64" s="56">
        <v>0.8</v>
      </c>
      <c r="D64">
        <v>0.86</v>
      </c>
      <c r="E64">
        <f t="shared" si="0"/>
        <v>0.93023255813953498</v>
      </c>
      <c r="F64" s="64" t="s">
        <v>686</v>
      </c>
    </row>
    <row r="65" spans="1:6" x14ac:dyDescent="0.25">
      <c r="A65" s="47" t="s">
        <v>115</v>
      </c>
      <c r="B65" s="49" t="s">
        <v>116</v>
      </c>
      <c r="C65" s="56">
        <v>0.89</v>
      </c>
      <c r="D65">
        <v>0.85799999999999998</v>
      </c>
      <c r="E65">
        <f t="shared" si="0"/>
        <v>1.0372960372960374</v>
      </c>
      <c r="F65" s="64" t="s">
        <v>686</v>
      </c>
    </row>
    <row r="66" spans="1:6" x14ac:dyDescent="0.25">
      <c r="A66" s="47" t="s">
        <v>687</v>
      </c>
      <c r="B66" s="49" t="s">
        <v>118</v>
      </c>
      <c r="C66" s="56">
        <v>0.97</v>
      </c>
      <c r="D66">
        <v>0.85799999999999998</v>
      </c>
      <c r="E66">
        <f t="shared" si="0"/>
        <v>1.1305361305361306</v>
      </c>
      <c r="F66" s="64" t="s">
        <v>686</v>
      </c>
    </row>
    <row r="67" spans="1:6" x14ac:dyDescent="0.25">
      <c r="A67" s="47" t="s">
        <v>688</v>
      </c>
      <c r="B67" s="49" t="s">
        <v>120</v>
      </c>
      <c r="C67" s="56">
        <v>0.81</v>
      </c>
      <c r="D67">
        <v>0.84899999999999998</v>
      </c>
      <c r="E67">
        <f t="shared" ref="E67:E74" si="1">C67/D67</f>
        <v>0.9540636042402828</v>
      </c>
      <c r="F67" s="64" t="s">
        <v>686</v>
      </c>
    </row>
    <row r="68" spans="1:6" x14ac:dyDescent="0.25">
      <c r="A68" s="47" t="s">
        <v>121</v>
      </c>
      <c r="B68" s="49" t="s">
        <v>122</v>
      </c>
      <c r="C68" s="56">
        <v>0.97</v>
      </c>
      <c r="D68">
        <v>0.85799999999999998</v>
      </c>
      <c r="E68">
        <f t="shared" si="1"/>
        <v>1.1305361305361306</v>
      </c>
      <c r="F68" s="64" t="s">
        <v>686</v>
      </c>
    </row>
    <row r="69" spans="1:6" x14ac:dyDescent="0.25">
      <c r="A69" s="47" t="s">
        <v>123</v>
      </c>
      <c r="B69" s="49" t="s">
        <v>124</v>
      </c>
      <c r="C69" s="56">
        <v>0.71</v>
      </c>
      <c r="D69">
        <v>0.877</v>
      </c>
      <c r="E69">
        <f t="shared" si="1"/>
        <v>0.80957810718358036</v>
      </c>
      <c r="F69" s="64" t="s">
        <v>686</v>
      </c>
    </row>
    <row r="70" spans="1:6" x14ac:dyDescent="0.25">
      <c r="A70" s="47" t="s">
        <v>125</v>
      </c>
      <c r="B70" s="49" t="s">
        <v>126</v>
      </c>
      <c r="C70" s="56">
        <v>0.66</v>
      </c>
      <c r="D70">
        <v>0.86</v>
      </c>
      <c r="E70">
        <f t="shared" si="1"/>
        <v>0.76744186046511631</v>
      </c>
      <c r="F70" s="64" t="s">
        <v>686</v>
      </c>
    </row>
    <row r="71" spans="1:6" x14ac:dyDescent="0.25">
      <c r="A71" s="47" t="s">
        <v>127</v>
      </c>
      <c r="B71" s="49" t="s">
        <v>128</v>
      </c>
      <c r="C71" s="56">
        <v>0.66</v>
      </c>
      <c r="D71">
        <v>0.85699999999999998</v>
      </c>
      <c r="E71">
        <f t="shared" si="1"/>
        <v>0.77012835472578767</v>
      </c>
      <c r="F71" s="64" t="s">
        <v>686</v>
      </c>
    </row>
    <row r="72" spans="1:6" x14ac:dyDescent="0.25">
      <c r="A72" s="47" t="s">
        <v>129</v>
      </c>
      <c r="B72" s="49" t="s">
        <v>130</v>
      </c>
      <c r="C72" s="56">
        <v>3.4</v>
      </c>
      <c r="D72">
        <v>0.85199999999999998</v>
      </c>
      <c r="E72">
        <f t="shared" si="1"/>
        <v>3.9906103286384975</v>
      </c>
      <c r="F72" s="64" t="s">
        <v>686</v>
      </c>
    </row>
    <row r="73" spans="1:6" x14ac:dyDescent="0.25">
      <c r="A73" s="44" t="s">
        <v>131</v>
      </c>
      <c r="B73" s="44" t="s">
        <v>132</v>
      </c>
      <c r="C73" s="56">
        <v>0.7</v>
      </c>
      <c r="D73">
        <v>0.9</v>
      </c>
      <c r="E73">
        <f t="shared" si="1"/>
        <v>0.77777777777777768</v>
      </c>
      <c r="F73" s="64" t="s">
        <v>686</v>
      </c>
    </row>
    <row r="74" spans="1:6" x14ac:dyDescent="0.25">
      <c r="A74" s="44" t="s">
        <v>133</v>
      </c>
      <c r="B74" s="44" t="s">
        <v>134</v>
      </c>
      <c r="C74" s="56">
        <v>2</v>
      </c>
      <c r="D74">
        <v>0.96699999999999997</v>
      </c>
      <c r="E74">
        <f t="shared" si="1"/>
        <v>2.0682523267838677</v>
      </c>
      <c r="F74" s="64" t="s">
        <v>686</v>
      </c>
    </row>
  </sheetData>
  <hyperlinks>
    <hyperlink ref="F4" r:id="rId1" location="section=Density" xr:uid="{FC83ED69-CB09-483D-BF61-6BDE1EB1C28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95B3-82F4-442E-8DD3-09D3A2E8F948}">
  <dimension ref="A1:E69"/>
  <sheetViews>
    <sheetView tabSelected="1" workbookViewId="0">
      <selection activeCell="J12" sqref="J12"/>
    </sheetView>
  </sheetViews>
  <sheetFormatPr defaultRowHeight="15.75" x14ac:dyDescent="0.25"/>
  <cols>
    <col min="1" max="1" width="26.5" bestFit="1" customWidth="1"/>
    <col min="2" max="2" width="43.125" bestFit="1" customWidth="1"/>
  </cols>
  <sheetData>
    <row r="1" spans="1:5" x14ac:dyDescent="0.25">
      <c r="A1" t="s">
        <v>657</v>
      </c>
      <c r="B1" t="s">
        <v>653</v>
      </c>
      <c r="C1" t="s">
        <v>658</v>
      </c>
      <c r="D1" t="s">
        <v>661</v>
      </c>
      <c r="E1" t="s">
        <v>689</v>
      </c>
    </row>
    <row r="2" spans="1:5" x14ac:dyDescent="0.25">
      <c r="A2" t="s">
        <v>3</v>
      </c>
      <c r="B2" t="s">
        <v>4</v>
      </c>
      <c r="C2">
        <v>0.23</v>
      </c>
      <c r="D2">
        <v>0.62109999999999999</v>
      </c>
      <c r="E2">
        <v>0.37031073901143136</v>
      </c>
    </row>
    <row r="3" spans="1:5" x14ac:dyDescent="0.25">
      <c r="A3" t="s">
        <v>5</v>
      </c>
      <c r="B3" t="s">
        <v>683</v>
      </c>
      <c r="C3">
        <v>0.29599999999999999</v>
      </c>
      <c r="D3">
        <v>0.66059999999999997</v>
      </c>
      <c r="E3">
        <v>0.44807750529821377</v>
      </c>
    </row>
    <row r="4" spans="1:5" x14ac:dyDescent="0.25">
      <c r="A4" t="s">
        <v>7</v>
      </c>
      <c r="B4" t="s">
        <v>8</v>
      </c>
      <c r="C4">
        <v>0.39</v>
      </c>
      <c r="D4">
        <v>0.67949999999999999</v>
      </c>
      <c r="E4">
        <v>0.57395143487858724</v>
      </c>
    </row>
    <row r="5" spans="1:5" x14ac:dyDescent="0.25">
      <c r="A5" t="s">
        <v>9</v>
      </c>
      <c r="B5" t="s">
        <v>10</v>
      </c>
      <c r="C5">
        <v>0.51</v>
      </c>
      <c r="D5">
        <v>0.6986</v>
      </c>
      <c r="E5">
        <v>0.73003149155453761</v>
      </c>
    </row>
    <row r="6" spans="1:5" x14ac:dyDescent="0.25">
      <c r="A6" t="s">
        <v>11</v>
      </c>
      <c r="B6" t="s">
        <v>12</v>
      </c>
      <c r="C6">
        <v>0.66</v>
      </c>
      <c r="D6">
        <v>0.71499999999999997</v>
      </c>
      <c r="E6">
        <v>0.92307692307692313</v>
      </c>
    </row>
    <row r="7" spans="1:5" x14ac:dyDescent="0.25">
      <c r="A7" t="s">
        <v>13</v>
      </c>
      <c r="B7" t="s">
        <v>14</v>
      </c>
      <c r="C7">
        <v>0.86</v>
      </c>
      <c r="D7">
        <v>0.72550000000000003</v>
      </c>
      <c r="E7">
        <v>1.1853893866299103</v>
      </c>
    </row>
    <row r="8" spans="1:5" x14ac:dyDescent="0.25">
      <c r="A8" t="s">
        <v>15</v>
      </c>
      <c r="B8" t="s">
        <v>16</v>
      </c>
      <c r="C8">
        <v>1.1000000000000001</v>
      </c>
      <c r="D8">
        <v>0.73699999999999999</v>
      </c>
      <c r="E8">
        <v>1.4925373134328359</v>
      </c>
    </row>
    <row r="9" spans="1:5" x14ac:dyDescent="0.25">
      <c r="A9" t="s">
        <v>17</v>
      </c>
      <c r="B9" t="s">
        <v>18</v>
      </c>
      <c r="C9">
        <v>1.7</v>
      </c>
      <c r="D9">
        <v>0.754</v>
      </c>
      <c r="E9">
        <v>2.2546419098143233</v>
      </c>
    </row>
    <row r="10" spans="1:5" x14ac:dyDescent="0.25">
      <c r="A10" t="s">
        <v>19</v>
      </c>
      <c r="B10" t="s">
        <v>20</v>
      </c>
      <c r="C10">
        <v>2.54</v>
      </c>
      <c r="D10">
        <v>0.76500000000000001</v>
      </c>
      <c r="E10">
        <v>3.3202614379084969</v>
      </c>
    </row>
    <row r="11" spans="1:5" x14ac:dyDescent="0.25">
      <c r="A11" t="s">
        <v>21</v>
      </c>
      <c r="B11" t="s">
        <v>22</v>
      </c>
      <c r="C11">
        <v>3.06</v>
      </c>
      <c r="D11">
        <v>0.77</v>
      </c>
      <c r="E11">
        <v>3.9740259740259738</v>
      </c>
    </row>
    <row r="12" spans="1:5" x14ac:dyDescent="0.25">
      <c r="A12" t="s">
        <v>23</v>
      </c>
      <c r="B12" t="s">
        <v>24</v>
      </c>
      <c r="C12">
        <v>3.61</v>
      </c>
      <c r="D12">
        <v>0.77300000000000002</v>
      </c>
      <c r="E12">
        <v>4.6701164294954722</v>
      </c>
    </row>
    <row r="13" spans="1:5" x14ac:dyDescent="0.25">
      <c r="A13" t="s">
        <v>25</v>
      </c>
      <c r="B13" t="s">
        <v>26</v>
      </c>
      <c r="C13">
        <v>29.7</v>
      </c>
      <c r="D13">
        <v>0.81</v>
      </c>
      <c r="E13">
        <v>36.666666666666664</v>
      </c>
    </row>
    <row r="14" spans="1:5" x14ac:dyDescent="0.25">
      <c r="A14" t="s">
        <v>27</v>
      </c>
      <c r="B14" t="s">
        <v>28</v>
      </c>
      <c r="C14">
        <v>0.34</v>
      </c>
      <c r="D14">
        <v>0.64439999999999997</v>
      </c>
      <c r="E14">
        <v>0.52762259466170092</v>
      </c>
    </row>
    <row r="15" spans="1:5" x14ac:dyDescent="0.25">
      <c r="A15" t="s">
        <v>29</v>
      </c>
      <c r="B15" t="s">
        <v>30</v>
      </c>
      <c r="C15">
        <v>0.33</v>
      </c>
      <c r="D15">
        <v>0.65800000000000003</v>
      </c>
      <c r="E15">
        <v>0.50151975683890582</v>
      </c>
    </row>
    <row r="16" spans="1:5" x14ac:dyDescent="0.25">
      <c r="A16" t="s">
        <v>31</v>
      </c>
      <c r="B16" t="s">
        <v>32</v>
      </c>
      <c r="C16">
        <v>0.55000000000000004</v>
      </c>
      <c r="D16">
        <v>0.68700000000000006</v>
      </c>
      <c r="E16">
        <v>0.80058224163027658</v>
      </c>
    </row>
    <row r="17" spans="1:5" x14ac:dyDescent="0.25">
      <c r="A17" t="s">
        <v>33</v>
      </c>
      <c r="B17" t="s">
        <v>34</v>
      </c>
      <c r="C17">
        <v>0.31</v>
      </c>
      <c r="D17">
        <v>0.67300000000000004</v>
      </c>
      <c r="E17">
        <v>0.46062407132243682</v>
      </c>
    </row>
    <row r="18" spans="1:5" x14ac:dyDescent="0.25">
      <c r="A18" t="s">
        <v>35</v>
      </c>
      <c r="B18" t="s">
        <v>36</v>
      </c>
      <c r="C18">
        <v>0.35</v>
      </c>
      <c r="D18">
        <v>0.67400000000000004</v>
      </c>
      <c r="E18">
        <v>0.51928783382789312</v>
      </c>
    </row>
    <row r="19" spans="1:5" x14ac:dyDescent="0.25">
      <c r="A19" t="s">
        <v>37</v>
      </c>
      <c r="B19" t="s">
        <v>38</v>
      </c>
      <c r="C19">
        <v>0.56999999999999995</v>
      </c>
      <c r="D19">
        <v>0.71199999999999997</v>
      </c>
      <c r="E19">
        <v>0.800561797752809</v>
      </c>
    </row>
    <row r="20" spans="1:5" x14ac:dyDescent="0.25">
      <c r="A20" t="s">
        <v>39</v>
      </c>
      <c r="B20" t="s">
        <v>40</v>
      </c>
      <c r="C20">
        <v>0.47</v>
      </c>
      <c r="D20">
        <v>0.69</v>
      </c>
      <c r="E20">
        <v>0.6811594202898551</v>
      </c>
    </row>
    <row r="21" spans="1:5" x14ac:dyDescent="0.25">
      <c r="A21" t="s">
        <v>41</v>
      </c>
      <c r="B21" t="s">
        <v>42</v>
      </c>
      <c r="C21">
        <v>0.42299999999999999</v>
      </c>
      <c r="D21">
        <v>0.71</v>
      </c>
      <c r="E21">
        <v>0.59577464788732393</v>
      </c>
    </row>
    <row r="22" spans="1:5" x14ac:dyDescent="0.25">
      <c r="A22" t="s">
        <v>43</v>
      </c>
      <c r="B22" t="s">
        <v>44</v>
      </c>
      <c r="C22">
        <v>0.75</v>
      </c>
      <c r="D22">
        <v>0.71599999999999997</v>
      </c>
      <c r="E22">
        <v>1.0474860335195531</v>
      </c>
    </row>
    <row r="23" spans="1:5" x14ac:dyDescent="0.25">
      <c r="A23" t="s">
        <v>676</v>
      </c>
      <c r="B23" t="s">
        <v>46</v>
      </c>
      <c r="C23">
        <v>0.49</v>
      </c>
      <c r="D23">
        <v>0.69599999999999995</v>
      </c>
      <c r="E23">
        <v>0.70402298850574718</v>
      </c>
    </row>
    <row r="24" spans="1:5" x14ac:dyDescent="0.25">
      <c r="A24" t="s">
        <v>47</v>
      </c>
      <c r="B24" t="s">
        <v>48</v>
      </c>
      <c r="C24">
        <v>0.63</v>
      </c>
      <c r="D24">
        <v>0.71</v>
      </c>
      <c r="E24">
        <v>0.88732394366197187</v>
      </c>
    </row>
    <row r="25" spans="1:5" x14ac:dyDescent="0.25">
      <c r="A25" t="s">
        <v>566</v>
      </c>
      <c r="B25" t="s">
        <v>567</v>
      </c>
      <c r="C25">
        <v>0.52</v>
      </c>
      <c r="D25">
        <v>0.72399999999999998</v>
      </c>
      <c r="E25">
        <v>0.71823204419889508</v>
      </c>
    </row>
    <row r="26" spans="1:5" x14ac:dyDescent="0.25">
      <c r="A26" t="s">
        <v>562</v>
      </c>
      <c r="B26" t="s">
        <v>677</v>
      </c>
      <c r="C26">
        <v>1.1000000000000001</v>
      </c>
      <c r="D26">
        <v>0.74</v>
      </c>
      <c r="E26">
        <v>1.4864864864864866</v>
      </c>
    </row>
    <row r="27" spans="1:5" x14ac:dyDescent="0.25">
      <c r="A27" t="s">
        <v>49</v>
      </c>
      <c r="B27" t="s">
        <v>50</v>
      </c>
      <c r="C27">
        <v>0.41</v>
      </c>
      <c r="D27">
        <v>0.75</v>
      </c>
      <c r="E27">
        <v>0.54666666666666663</v>
      </c>
    </row>
    <row r="28" spans="1:5" x14ac:dyDescent="0.25">
      <c r="A28" t="s">
        <v>51</v>
      </c>
      <c r="B28" t="s">
        <v>52</v>
      </c>
      <c r="C28">
        <v>0.9</v>
      </c>
      <c r="D28">
        <v>0.77300000000000002</v>
      </c>
      <c r="E28">
        <v>1.1642949547218628</v>
      </c>
    </row>
    <row r="29" spans="1:5" x14ac:dyDescent="0.25">
      <c r="A29" t="s">
        <v>53</v>
      </c>
      <c r="B29" t="s">
        <v>54</v>
      </c>
      <c r="C29">
        <v>1.37</v>
      </c>
      <c r="D29">
        <v>0.80600000000000005</v>
      </c>
      <c r="E29">
        <v>1.6997518610421836</v>
      </c>
    </row>
    <row r="30" spans="1:5" x14ac:dyDescent="0.25">
      <c r="A30" t="s">
        <v>55</v>
      </c>
      <c r="B30" t="s">
        <v>56</v>
      </c>
      <c r="C30">
        <v>2.2799999999999998</v>
      </c>
      <c r="D30">
        <v>0.83</v>
      </c>
      <c r="E30">
        <v>2.7469879518072289</v>
      </c>
    </row>
    <row r="31" spans="1:5" x14ac:dyDescent="0.25">
      <c r="A31" t="s">
        <v>57</v>
      </c>
      <c r="B31" t="s">
        <v>58</v>
      </c>
      <c r="C31">
        <v>0.48</v>
      </c>
      <c r="D31">
        <v>0.745</v>
      </c>
      <c r="E31">
        <v>0.64429530201342278</v>
      </c>
    </row>
    <row r="32" spans="1:5" x14ac:dyDescent="0.25">
      <c r="A32" t="s">
        <v>59</v>
      </c>
      <c r="B32" t="s">
        <v>60</v>
      </c>
      <c r="C32">
        <v>0.53</v>
      </c>
      <c r="D32">
        <v>0.76300000000000001</v>
      </c>
      <c r="E32">
        <v>0.6946264744429882</v>
      </c>
    </row>
    <row r="33" spans="1:5" x14ac:dyDescent="0.25">
      <c r="A33" t="s">
        <v>61</v>
      </c>
      <c r="B33" t="s">
        <v>62</v>
      </c>
      <c r="C33">
        <v>0.65</v>
      </c>
      <c r="D33">
        <v>0.77300000000000002</v>
      </c>
      <c r="E33">
        <v>0.8408796895213454</v>
      </c>
    </row>
    <row r="34" spans="1:5" x14ac:dyDescent="0.25">
      <c r="A34" t="s">
        <v>63</v>
      </c>
      <c r="B34" t="s">
        <v>64</v>
      </c>
      <c r="C34">
        <v>0.65</v>
      </c>
      <c r="D34">
        <v>0.77259999999999995</v>
      </c>
      <c r="E34">
        <v>0.84131504012425584</v>
      </c>
    </row>
    <row r="35" spans="1:5" x14ac:dyDescent="0.25">
      <c r="A35" t="s">
        <v>65</v>
      </c>
      <c r="B35" t="s">
        <v>66</v>
      </c>
      <c r="C35">
        <v>0.5</v>
      </c>
      <c r="D35">
        <v>0.77690000000000003</v>
      </c>
      <c r="E35">
        <v>0.64358347277641903</v>
      </c>
    </row>
    <row r="36" spans="1:5" x14ac:dyDescent="0.25">
      <c r="A36" t="s">
        <v>67</v>
      </c>
      <c r="B36" t="s">
        <v>68</v>
      </c>
      <c r="C36">
        <v>0.68</v>
      </c>
      <c r="D36">
        <v>0.76600000000000001</v>
      </c>
      <c r="E36">
        <v>0.8877284595300261</v>
      </c>
    </row>
    <row r="37" spans="1:5" x14ac:dyDescent="0.25">
      <c r="A37" t="s">
        <v>69</v>
      </c>
      <c r="B37" t="s">
        <v>681</v>
      </c>
      <c r="C37">
        <v>0.68</v>
      </c>
      <c r="D37">
        <v>0.76200000000000001</v>
      </c>
      <c r="E37">
        <v>0.8923884514435696</v>
      </c>
    </row>
    <row r="38" spans="1:5" x14ac:dyDescent="0.25">
      <c r="A38" t="s">
        <v>71</v>
      </c>
      <c r="B38" t="s">
        <v>682</v>
      </c>
      <c r="C38">
        <v>0.77</v>
      </c>
      <c r="D38">
        <v>0.77200000000000002</v>
      </c>
      <c r="E38">
        <v>0.99740932642487046</v>
      </c>
    </row>
    <row r="39" spans="1:5" x14ac:dyDescent="0.25">
      <c r="A39" t="s">
        <v>73</v>
      </c>
      <c r="B39" t="s">
        <v>74</v>
      </c>
      <c r="C39">
        <v>0.95</v>
      </c>
      <c r="D39">
        <v>0.79</v>
      </c>
      <c r="E39">
        <v>1.2025316455696202</v>
      </c>
    </row>
    <row r="40" spans="1:5" x14ac:dyDescent="0.25">
      <c r="A40" t="s">
        <v>75</v>
      </c>
      <c r="B40" t="s">
        <v>76</v>
      </c>
      <c r="C40">
        <v>0.98</v>
      </c>
      <c r="D40">
        <v>0.79800000000000004</v>
      </c>
      <c r="E40">
        <v>1.2280701754385963</v>
      </c>
    </row>
    <row r="41" spans="1:5" x14ac:dyDescent="0.25">
      <c r="A41" t="s">
        <v>77</v>
      </c>
      <c r="B41" t="s">
        <v>78</v>
      </c>
      <c r="C41">
        <v>1.22</v>
      </c>
      <c r="D41">
        <v>0.79600000000000004</v>
      </c>
      <c r="E41">
        <v>1.5326633165829144</v>
      </c>
    </row>
    <row r="42" spans="1:5" x14ac:dyDescent="0.25">
      <c r="A42" t="s">
        <v>685</v>
      </c>
      <c r="B42" t="s">
        <v>80</v>
      </c>
      <c r="C42">
        <v>1.1200000000000001</v>
      </c>
      <c r="D42">
        <v>0.79179999999999995</v>
      </c>
      <c r="E42">
        <v>1.4144986107602933</v>
      </c>
    </row>
    <row r="43" spans="1:5" x14ac:dyDescent="0.25">
      <c r="A43" t="s">
        <v>81</v>
      </c>
      <c r="B43" t="s">
        <v>82</v>
      </c>
      <c r="C43">
        <v>3.01</v>
      </c>
      <c r="D43">
        <v>0.89400000000000002</v>
      </c>
      <c r="E43">
        <v>3.3668903803131989</v>
      </c>
    </row>
    <row r="44" spans="1:5" x14ac:dyDescent="0.25">
      <c r="A44" t="s">
        <v>83</v>
      </c>
      <c r="B44" t="s">
        <v>84</v>
      </c>
      <c r="C44">
        <v>0.23</v>
      </c>
      <c r="D44">
        <v>0.76700000000000002</v>
      </c>
      <c r="E44">
        <v>0.29986962190352023</v>
      </c>
    </row>
    <row r="45" spans="1:5" x14ac:dyDescent="0.25">
      <c r="A45" t="s">
        <v>85</v>
      </c>
      <c r="B45" t="s">
        <v>86</v>
      </c>
      <c r="C45">
        <v>0.28999999999999998</v>
      </c>
      <c r="D45">
        <v>0.75900000000000001</v>
      </c>
      <c r="E45">
        <v>0.38208168642951251</v>
      </c>
    </row>
    <row r="46" spans="1:5" x14ac:dyDescent="0.25">
      <c r="A46" t="s">
        <v>87</v>
      </c>
      <c r="B46" t="s">
        <v>88</v>
      </c>
      <c r="C46">
        <v>0.62</v>
      </c>
      <c r="D46">
        <v>0.80600000000000005</v>
      </c>
      <c r="E46">
        <v>0.76923076923076916</v>
      </c>
    </row>
    <row r="47" spans="1:5" x14ac:dyDescent="0.25">
      <c r="A47" t="s">
        <v>89</v>
      </c>
      <c r="B47" t="s">
        <v>90</v>
      </c>
      <c r="C47">
        <v>0.42</v>
      </c>
      <c r="D47">
        <v>0.80659999999999998</v>
      </c>
      <c r="E47">
        <v>0.5207041904289611</v>
      </c>
    </row>
    <row r="48" spans="1:5" x14ac:dyDescent="0.25">
      <c r="A48" t="s">
        <v>91</v>
      </c>
      <c r="B48" t="s">
        <v>92</v>
      </c>
      <c r="C48">
        <v>0.61</v>
      </c>
      <c r="D48">
        <v>0.873</v>
      </c>
      <c r="E48">
        <v>0.69873997709049251</v>
      </c>
    </row>
    <row r="49" spans="1:5" x14ac:dyDescent="0.25">
      <c r="A49" t="s">
        <v>93</v>
      </c>
      <c r="B49" t="s">
        <v>94</v>
      </c>
      <c r="C49">
        <v>0.55000000000000004</v>
      </c>
      <c r="D49">
        <v>0.86499999999999999</v>
      </c>
      <c r="E49">
        <v>0.63583815028901736</v>
      </c>
    </row>
    <row r="50" spans="1:5" x14ac:dyDescent="0.25">
      <c r="A50" t="s">
        <v>95</v>
      </c>
      <c r="B50" t="s">
        <v>96</v>
      </c>
      <c r="C50">
        <v>0.76</v>
      </c>
      <c r="D50">
        <v>0.876</v>
      </c>
      <c r="E50">
        <v>0.86757990867579915</v>
      </c>
    </row>
    <row r="51" spans="1:5" x14ac:dyDescent="0.25">
      <c r="A51" t="s">
        <v>97</v>
      </c>
      <c r="B51" t="s">
        <v>98</v>
      </c>
      <c r="C51">
        <v>0.57999999999999996</v>
      </c>
      <c r="D51">
        <v>0.86099999999999999</v>
      </c>
      <c r="E51">
        <v>0.67363530778164926</v>
      </c>
    </row>
    <row r="52" spans="1:5" x14ac:dyDescent="0.25">
      <c r="A52" t="s">
        <v>99</v>
      </c>
      <c r="B52" t="s">
        <v>100</v>
      </c>
      <c r="C52">
        <v>0.6</v>
      </c>
      <c r="D52">
        <v>0.85799999999999998</v>
      </c>
      <c r="E52">
        <v>0.69930069930069927</v>
      </c>
    </row>
    <row r="53" spans="1:5" x14ac:dyDescent="0.25">
      <c r="A53" t="s">
        <v>101</v>
      </c>
      <c r="B53" t="s">
        <v>102</v>
      </c>
      <c r="C53">
        <v>0.63</v>
      </c>
      <c r="D53">
        <v>0.86499999999999999</v>
      </c>
      <c r="E53">
        <v>0.72832369942196529</v>
      </c>
    </row>
    <row r="54" spans="1:5" x14ac:dyDescent="0.25">
      <c r="A54" t="s">
        <v>103</v>
      </c>
      <c r="B54" t="s">
        <v>104</v>
      </c>
      <c r="C54">
        <v>0.86</v>
      </c>
      <c r="D54">
        <v>0.89100000000000001</v>
      </c>
      <c r="E54">
        <v>0.96520763187429848</v>
      </c>
    </row>
    <row r="55" spans="1:5" x14ac:dyDescent="0.25">
      <c r="A55" t="s">
        <v>105</v>
      </c>
      <c r="B55" t="s">
        <v>106</v>
      </c>
      <c r="C55">
        <v>0.92</v>
      </c>
      <c r="D55">
        <v>0.872</v>
      </c>
      <c r="E55">
        <v>1.0550458715596331</v>
      </c>
    </row>
    <row r="56" spans="1:5" x14ac:dyDescent="0.25">
      <c r="A56" t="s">
        <v>107</v>
      </c>
      <c r="B56" t="s">
        <v>108</v>
      </c>
      <c r="C56">
        <v>0.69</v>
      </c>
      <c r="D56">
        <v>0.86099999999999999</v>
      </c>
      <c r="E56">
        <v>0.80139372822299648</v>
      </c>
    </row>
    <row r="57" spans="1:5" x14ac:dyDescent="0.25">
      <c r="A57" t="s">
        <v>109</v>
      </c>
      <c r="B57" t="s">
        <v>110</v>
      </c>
      <c r="C57">
        <v>0.79</v>
      </c>
      <c r="D57">
        <v>0.86</v>
      </c>
      <c r="E57">
        <v>0.91860465116279078</v>
      </c>
    </row>
    <row r="58" spans="1:5" x14ac:dyDescent="0.25">
      <c r="A58" t="s">
        <v>111</v>
      </c>
      <c r="B58" t="s">
        <v>112</v>
      </c>
      <c r="C58">
        <v>0.9</v>
      </c>
      <c r="D58">
        <v>0.876</v>
      </c>
      <c r="E58">
        <v>1.0273972602739727</v>
      </c>
    </row>
    <row r="59" spans="1:5" x14ac:dyDescent="0.25">
      <c r="A59" t="s">
        <v>113</v>
      </c>
      <c r="B59" t="s">
        <v>114</v>
      </c>
      <c r="C59">
        <v>0.8</v>
      </c>
      <c r="D59">
        <v>0.86</v>
      </c>
      <c r="E59">
        <v>0.93023255813953498</v>
      </c>
    </row>
    <row r="60" spans="1:5" x14ac:dyDescent="0.25">
      <c r="A60" t="s">
        <v>115</v>
      </c>
      <c r="B60" t="s">
        <v>116</v>
      </c>
      <c r="C60">
        <v>0.89</v>
      </c>
      <c r="D60">
        <v>0.85799999999999998</v>
      </c>
      <c r="E60">
        <v>1.0372960372960374</v>
      </c>
    </row>
    <row r="61" spans="1:5" x14ac:dyDescent="0.25">
      <c r="A61" t="s">
        <v>687</v>
      </c>
      <c r="B61" t="s">
        <v>118</v>
      </c>
      <c r="C61">
        <v>0.97</v>
      </c>
      <c r="D61">
        <v>0.85799999999999998</v>
      </c>
      <c r="E61">
        <v>1.1305361305361306</v>
      </c>
    </row>
    <row r="62" spans="1:5" x14ac:dyDescent="0.25">
      <c r="A62" t="s">
        <v>688</v>
      </c>
      <c r="B62" t="s">
        <v>120</v>
      </c>
      <c r="C62">
        <v>0.81</v>
      </c>
      <c r="D62">
        <v>0.84899999999999998</v>
      </c>
      <c r="E62">
        <v>0.9540636042402828</v>
      </c>
    </row>
    <row r="63" spans="1:5" x14ac:dyDescent="0.25">
      <c r="A63" t="s">
        <v>121</v>
      </c>
      <c r="B63" t="s">
        <v>122</v>
      </c>
      <c r="C63">
        <v>0.97</v>
      </c>
      <c r="D63">
        <v>0.85799999999999998</v>
      </c>
      <c r="E63">
        <v>1.1305361305361306</v>
      </c>
    </row>
    <row r="64" spans="1:5" x14ac:dyDescent="0.25">
      <c r="A64" t="s">
        <v>123</v>
      </c>
      <c r="B64" t="s">
        <v>124</v>
      </c>
      <c r="C64">
        <v>0.71</v>
      </c>
      <c r="D64">
        <v>0.877</v>
      </c>
      <c r="E64">
        <v>0.80957810718358036</v>
      </c>
    </row>
    <row r="65" spans="1:5" x14ac:dyDescent="0.25">
      <c r="A65" t="s">
        <v>125</v>
      </c>
      <c r="B65" t="s">
        <v>126</v>
      </c>
      <c r="C65">
        <v>0.66</v>
      </c>
      <c r="D65">
        <v>0.86</v>
      </c>
      <c r="E65">
        <v>0.76744186046511631</v>
      </c>
    </row>
    <row r="66" spans="1:5" x14ac:dyDescent="0.25">
      <c r="A66" t="s">
        <v>127</v>
      </c>
      <c r="B66" t="s">
        <v>128</v>
      </c>
      <c r="C66">
        <v>0.66</v>
      </c>
      <c r="D66">
        <v>0.85699999999999998</v>
      </c>
      <c r="E66">
        <v>0.77012835472578767</v>
      </c>
    </row>
    <row r="67" spans="1:5" x14ac:dyDescent="0.25">
      <c r="A67" t="s">
        <v>129</v>
      </c>
      <c r="B67" t="s">
        <v>130</v>
      </c>
      <c r="C67">
        <v>3.4</v>
      </c>
      <c r="D67">
        <v>0.85199999999999998</v>
      </c>
      <c r="E67">
        <v>3.9906103286384975</v>
      </c>
    </row>
    <row r="68" spans="1:5" x14ac:dyDescent="0.25">
      <c r="A68" t="s">
        <v>131</v>
      </c>
      <c r="B68" t="s">
        <v>132</v>
      </c>
      <c r="C68">
        <v>0.7</v>
      </c>
      <c r="D68">
        <v>0.9</v>
      </c>
      <c r="E68">
        <v>0.77777777777777768</v>
      </c>
    </row>
    <row r="69" spans="1:5" x14ac:dyDescent="0.25">
      <c r="A69" t="s">
        <v>133</v>
      </c>
      <c r="B69" t="s">
        <v>134</v>
      </c>
      <c r="C69">
        <v>2</v>
      </c>
      <c r="D69">
        <v>0.96699999999999997</v>
      </c>
      <c r="E69">
        <v>2.0682523267838677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B300</vt:lpstr>
      <vt:lpstr>EMO</vt:lpstr>
      <vt:lpstr>Sheet1</vt:lpstr>
      <vt:lpstr>HCs Only</vt:lpstr>
      <vt:lpstr>HCs Only - Condensed</vt:lpstr>
      <vt:lpstr>DATA</vt:lpstr>
      <vt:lpstr>TEST</vt:lpstr>
    </vt:vector>
  </TitlesOfParts>
  <Company>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 D</dc:creator>
  <cp:lastModifiedBy>Wright, Patrick T</cp:lastModifiedBy>
  <dcterms:created xsi:type="dcterms:W3CDTF">2017-12-22T14:16:56Z</dcterms:created>
  <dcterms:modified xsi:type="dcterms:W3CDTF">2024-02-27T16:27:13Z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8c77ce-b6a7-442a-986b-9cc08daa09b1_Enabled">
    <vt:lpwstr>true</vt:lpwstr>
  </property>
  <property fmtid="{D5CDD505-2E9C-101B-9397-08002B2CF9AE}" pid="3" name="MSIP_Label_d08c77ce-b6a7-442a-986b-9cc08daa09b1_SetDate">
    <vt:lpwstr>2024-02-27T14:22:42Z</vt:lpwstr>
  </property>
  <property fmtid="{D5CDD505-2E9C-101B-9397-08002B2CF9AE}" pid="4" name="MSIP_Label_d08c77ce-b6a7-442a-986b-9cc08daa09b1_Method">
    <vt:lpwstr>Privileged</vt:lpwstr>
  </property>
  <property fmtid="{D5CDD505-2E9C-101B-9397-08002B2CF9AE}" pid="5" name="MSIP_Label_d08c77ce-b6a7-442a-986b-9cc08daa09b1_Name">
    <vt:lpwstr>ASC-Public-Information</vt:lpwstr>
  </property>
  <property fmtid="{D5CDD505-2E9C-101B-9397-08002B2CF9AE}" pid="6" name="MSIP_Label_d08c77ce-b6a7-442a-986b-9cc08daa09b1_SiteId">
    <vt:lpwstr>3793a1e6-1687-4a33-a150-6d1a5640ff06</vt:lpwstr>
  </property>
  <property fmtid="{D5CDD505-2E9C-101B-9397-08002B2CF9AE}" pid="7" name="MSIP_Label_d08c77ce-b6a7-442a-986b-9cc08daa09b1_ActionId">
    <vt:lpwstr>a5935a71-cfac-463d-8bc8-d27d7e967f24</vt:lpwstr>
  </property>
  <property fmtid="{D5CDD505-2E9C-101B-9397-08002B2CF9AE}" pid="8" name="MSIP_Label_d08c77ce-b6a7-442a-986b-9cc08daa09b1_ContentBits">
    <vt:lpwstr>2</vt:lpwstr>
  </property>
</Properties>
</file>